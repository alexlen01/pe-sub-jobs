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/>
  </bookViews>
  <sheets>
    <sheet r:id="rId1" name="Agent Bank Summary" sheetId="1"/>
  </sheets>
  <calcPr calcId="0" iterateCount="100" iterateDelta="0.001"/>
</workbook>
</file>

<file path=xl/sharedStrings.xml><?xml version="1.0" encoding="utf-8"?>
<sst xmlns="http://schemas.openxmlformats.org/spreadsheetml/2006/main" count="159" uniqueCount="159">
  <si>
    <t>Agent</t>
  </si>
  <si>
    <t>Borrower</t>
  </si>
  <si>
    <t>AccountNumber</t>
  </si>
  <si>
    <t>LoanAmount</t>
  </si>
  <si>
    <t>MaturityDate</t>
  </si>
  <si>
    <t>FacilityStatus</t>
  </si>
  <si>
    <t>FacilityStatusDate</t>
  </si>
  <si>
    <t>Bank of America</t>
  </si>
  <si>
    <t>HIG LBO IV, BH III, GB&amp;E III, IV [U]</t>
  </si>
  <si>
    <t>5VX1796</t>
  </si>
  <si>
    <t>Active</t>
  </si>
  <si>
    <t>Brookfield Strat RE IV</t>
  </si>
  <si>
    <t>5VW6859</t>
  </si>
  <si>
    <t>Carlyle Realty IX</t>
  </si>
  <si>
    <t>5VW7911</t>
  </si>
  <si>
    <t>Crestview II, III, VI [U]</t>
  </si>
  <si>
    <t>5VX6608</t>
  </si>
  <si>
    <t>Carlyle Buyout Umbrella</t>
  </si>
  <si>
    <t>5VZ8873</t>
  </si>
  <si>
    <t>Oaktree Opportunities Fund Xb</t>
  </si>
  <si>
    <t>Castlelake Aviation IV Stable Yield LP</t>
  </si>
  <si>
    <t>5VZ5764</t>
  </si>
  <si>
    <t>Oaktree Opportunities Fund Xb LP</t>
  </si>
  <si>
    <t>5VX6615</t>
  </si>
  <si>
    <t>Platinum Eq VI</t>
  </si>
  <si>
    <t>5VX0814</t>
  </si>
  <si>
    <t>Great Hill Equity Partners VIII</t>
  </si>
  <si>
    <t>5VX2978</t>
  </si>
  <si>
    <t>THL Eq IX</t>
  </si>
  <si>
    <t>5VY4074</t>
  </si>
  <si>
    <t>Platinum Eq IV</t>
  </si>
  <si>
    <t>5VW3197</t>
  </si>
  <si>
    <t>Brookfield Strat RE III</t>
  </si>
  <si>
    <t>5VX4741</t>
  </si>
  <si>
    <t>Platinum Eq Small Cap</t>
  </si>
  <si>
    <t>5VX1179</t>
  </si>
  <si>
    <t>HarbourVest Dover St. X, X AIF, XI [U]</t>
  </si>
  <si>
    <t>5VX4742</t>
  </si>
  <si>
    <t>Thoma Bravo Fund XV LP</t>
  </si>
  <si>
    <t>5VW4026</t>
  </si>
  <si>
    <t>AccessTotalsLoanAmount:</t>
  </si>
  <si>
    <t>BMO</t>
  </si>
  <si>
    <t>TPG Growth VI</t>
  </si>
  <si>
    <t>5VY3937</t>
  </si>
  <si>
    <t>Brookfield Capital Partners VI L.P.</t>
  </si>
  <si>
    <t>5VW7838</t>
  </si>
  <si>
    <t>BNYM</t>
  </si>
  <si>
    <t>OHA CA Customized Credit Fund LP</t>
  </si>
  <si>
    <t>5VW6327</t>
  </si>
  <si>
    <t>CIBC</t>
  </si>
  <si>
    <t>TPG Tech Adj II</t>
  </si>
  <si>
    <t>5VW0525</t>
  </si>
  <si>
    <t>City National Bank</t>
  </si>
  <si>
    <t>Kayne Anderson Real Estate Opportunistic Debt II</t>
  </si>
  <si>
    <t>5VAA120</t>
  </si>
  <si>
    <t>JP Morgan</t>
  </si>
  <si>
    <t>KKR Ascendant</t>
  </si>
  <si>
    <t>5VX8194</t>
  </si>
  <si>
    <t>Sculptor Real Estate Fund V</t>
  </si>
  <si>
    <t>5VZ7360</t>
  </si>
  <si>
    <t>Aurora Equity Partners 7</t>
  </si>
  <si>
    <t>5VY9755</t>
  </si>
  <si>
    <t>Francisco Partner Agility III</t>
  </si>
  <si>
    <t>5VX8197</t>
  </si>
  <si>
    <t>Aurora Eq VI</t>
  </si>
  <si>
    <t>5VW8105</t>
  </si>
  <si>
    <t>Veritas VI, VII, VIII, … [U]</t>
  </si>
  <si>
    <t>5VU7840</t>
  </si>
  <si>
    <t>Lloyds</t>
  </si>
  <si>
    <t>Harbourvest 2000 Global Fund</t>
  </si>
  <si>
    <t>5VY5270</t>
  </si>
  <si>
    <t>M&amp;T Bank</t>
  </si>
  <si>
    <t>Silver Point Specialty Credit III Master Fu</t>
  </si>
  <si>
    <t>5VX3195</t>
  </si>
  <si>
    <t>Mizuho</t>
  </si>
  <si>
    <t>Roark Capital Partners VII</t>
  </si>
  <si>
    <t>5VZ2053</t>
  </si>
  <si>
    <t>Roark Capital Partners VI</t>
  </si>
  <si>
    <t>5VZ2054</t>
  </si>
  <si>
    <t>Morgan Stanley</t>
  </si>
  <si>
    <t>HIG MM LBO IV</t>
  </si>
  <si>
    <t>5VX1795</t>
  </si>
  <si>
    <t>HIG MM LBO III</t>
  </si>
  <si>
    <t>5VU6465</t>
  </si>
  <si>
    <t>Lonestar Fund XII</t>
  </si>
  <si>
    <t>5VX2839</t>
  </si>
  <si>
    <t>Resolute VI</t>
  </si>
  <si>
    <t>5VY0239</t>
  </si>
  <si>
    <t>Natixis</t>
  </si>
  <si>
    <t>CD&amp;R X, VI, XII [U]</t>
  </si>
  <si>
    <t>5VX4757</t>
  </si>
  <si>
    <t>5VY8943</t>
  </si>
  <si>
    <t>PNC</t>
  </si>
  <si>
    <t>Strategic Value Spec Sit V</t>
  </si>
  <si>
    <t>5VX6327</t>
  </si>
  <si>
    <t>Silicon Valley Bank</t>
  </si>
  <si>
    <t>Audax Private Equity Fund VII LP (Uncommitted)</t>
  </si>
  <si>
    <t>5VAB068</t>
  </si>
  <si>
    <t>Arctos Keystone Partners Fund I (Committed)</t>
  </si>
  <si>
    <t>5VZ9848</t>
  </si>
  <si>
    <t>Arctos Sports Fund II</t>
  </si>
  <si>
    <t>5VY4509</t>
  </si>
  <si>
    <t>Audax Private Equity Fund VII LP (Committed)</t>
  </si>
  <si>
    <t>5VAB067</t>
  </si>
  <si>
    <t>Arctos American Football Fund (Committed)</t>
  </si>
  <si>
    <t>5VZ4752</t>
  </si>
  <si>
    <t>Arctos Keystone Partners Fund I (Uncommitted)</t>
  </si>
  <si>
    <t>5VZ9849</t>
  </si>
  <si>
    <t>Arctos American Football Fund (Uncommitted)</t>
  </si>
  <si>
    <t>5VZ4753</t>
  </si>
  <si>
    <t>COMVEST CREDIT PARTNERS VII (UNCOMMITTED)</t>
  </si>
  <si>
    <t>5VY7842</t>
  </si>
  <si>
    <t>COMVEST CREDIT PARTNERS VII (COMMITTED)</t>
  </si>
  <si>
    <t>5VY7714</t>
  </si>
  <si>
    <t>5VY4577</t>
  </si>
  <si>
    <t>SMBC</t>
  </si>
  <si>
    <t>NB PD IV EQUITY LP</t>
  </si>
  <si>
    <t>5VX1099</t>
  </si>
  <si>
    <t>West Street Mezz VIII</t>
  </si>
  <si>
    <t>5VX1620</t>
  </si>
  <si>
    <t>Societe Generale</t>
  </si>
  <si>
    <t>AG Direct Lending Fund V</t>
  </si>
  <si>
    <t>5VX1128</t>
  </si>
  <si>
    <t>Angelo Gordon Asset Based Credit</t>
  </si>
  <si>
    <t>5VW9108</t>
  </si>
  <si>
    <t>UBS Bank USA</t>
  </si>
  <si>
    <t>EDISON PARTNERS XI LP;</t>
  </si>
  <si>
    <t>5VY6837</t>
  </si>
  <si>
    <t>Wells Fargo</t>
  </si>
  <si>
    <t>Blue Owl GP Stakes V (A) LP</t>
  </si>
  <si>
    <t>5VAD225</t>
  </si>
  <si>
    <t>5VW9761</t>
  </si>
  <si>
    <t>K6 PRIVATE INVESTORS LP</t>
  </si>
  <si>
    <t>5VY4364</t>
  </si>
  <si>
    <t>Antares Sen Loan II</t>
  </si>
  <si>
    <t>5VX1598</t>
  </si>
  <si>
    <t>StepStone Secondary Opportunities Fund VI, LP</t>
  </si>
  <si>
    <t>5VAD673</t>
  </si>
  <si>
    <t>Petershill IV</t>
  </si>
  <si>
    <t>5VU9894</t>
  </si>
  <si>
    <t>Genercal Atlantic Core Program</t>
  </si>
  <si>
    <t>5VT6271</t>
  </si>
  <si>
    <t>Whitehorse Liq V</t>
  </si>
  <si>
    <t>5VX1997</t>
  </si>
  <si>
    <t>Roark Continuation</t>
  </si>
  <si>
    <t>5VX8318</t>
  </si>
  <si>
    <t>PSG VI, LP</t>
  </si>
  <si>
    <t>5VY8120</t>
  </si>
  <si>
    <t>GTCR FUND XIV/A LP</t>
  </si>
  <si>
    <t>5VY0034</t>
  </si>
  <si>
    <t>K5 Priv Inv</t>
  </si>
  <si>
    <t>5VX4537</t>
  </si>
  <si>
    <t>HIG ADVANTAGE BUYOUT</t>
  </si>
  <si>
    <t>5VY4260</t>
  </si>
  <si>
    <t>Kohlberg Investors X</t>
  </si>
  <si>
    <t>5VX7941</t>
  </si>
  <si>
    <t>Francisco Partners VII</t>
  </si>
  <si>
    <t>5VX6087</t>
  </si>
  <si>
    <t>AccessTotalsLoanAmount1: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</si>
</sst>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1" formatCode="[$$-409]#,##0.00;[RED]\-[$$-409]#,##0.00"/>
    <numFmt numFmtId="172" formatCode="mm/dd/yyyy"/>
  </numFmts>
  <fonts count="1">
    <font>
      <b val="0"/>
      <i val="0"/>
      <sz val="10"/>
      <color auto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 applyFont="1" applyBorder="1" applyAlignment="1" applyProtection="1"/>
    <xf numFmtId="0" fontId="0" fillId="0" borderId="0" applyFont="1" applyBorder="1" applyAlignment="1" applyProtection="1"/>
    <xf numFmtId="0" fontId="0" fillId="0" borderId="0" applyFont="1" applyBorder="0" applyAlignment="0" applyProtection="0"/>
    <xf numFmtId="41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9" fontId="0" fillId="0" borderId="0" applyFont="1" applyBorder="0" applyAlignment="0" applyProtection="0"/>
  </cellStyleXfs>
  <cellXfs count="5">
    <xf numFmtId="0" fontId="0" fillId="0" borderId="0" xfId="0" applyFont="1" applyBorder="1" applyAlignment="1" applyProtection="1"/>
    <xf numFmtId="0" fontId="0" fillId="0" borderId="0" xfId="0"/>
    <xf numFmtId="0" fontId="0" fillId="0" borderId="0" xfId="0">
      <alignment horizontal="center" vertical="bottom"/>
    </xf>
    <xf numFmtId="171" fontId="0" fillId="0" borderId="0" xfId="0">
      <alignment horizontal="center" vertical="bottom"/>
    </xf>
    <xf numFmtId="172" fontId="0" fillId="0" borderId="0" xfId="0">
      <alignment horizontal="center" vertical="bottom"/>
    </xf>
  </cellXfs>
  <cellStyles count="6">
    <cellStyle name="Normal" xfId="1"/>
    <cellStyle name="Comma" xfId="2" builtinId="3"/>
    <cellStyle name="Comma [0]" xfId="3" builtinId="6"/>
    <cellStyle name="Currency" xfId="4" builtinId="4"/>
    <cellStyle name="Currency[0]" xfId="5" builtinId="7"/>
    <cellStyle name="Percent" xfId="6" builtinId="5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Libre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"/>
      </a:majorFont>
      <a:minorFont>
        <a:latin typeface="Arial"/>
        <a:ea typeface="DejaVu Sans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108AFC3-079C-42FD-9C12-516BBBC0DDE6}" mc:Ignorable="x14ac xr xr2 xr3">
  <dimension ref="A1:H105"/>
  <sheetViews>
    <sheetView topLeftCell="A79" zoomScale="110" workbookViewId="0" tabSelected="1">
      <selection activeCell="A81" sqref="A81"/>
    </sheetView>
  </sheetViews>
  <sheetFormatPr defaultRowHeight="12.8025" defaultColWidth="11.57421875" customHeight="1"/>
  <cols>
    <col min="1" max="1" style="1" width="48.421875" customWidth="1"/>
    <col min="2" max="2" style="1" width="45.7109375" customWidth="1"/>
    <col min="3" max="3" style="2" width="27.00390625" customWidth="1"/>
    <col min="4" max="4" style="3" width="24.28125" customWidth="1"/>
    <col min="5" max="5" width="21.57421875" customWidth="1"/>
    <col min="6" max="6" style="4" width="18.421875" customWidth="1"/>
    <col min="7" max="7" style="2" width="21.8515625" customWidth="1"/>
    <col min="8" max="8" style="4" width="21.28125" customWidth="1"/>
  </cols>
  <sheetData>
    <row r="1" ht="12.75" customHeight="1">
      <c r="A1" s="1" t="s">
        <v>0</v>
      </c>
      <c r="B1" s="1" t="s">
        <v>1</v>
      </c>
      <c r="C1" s="2" t="s">
        <v>2</v>
      </c>
      <c r="D1" s="3" t="s">
        <v>3</v>
      </c>
      <c r="F1" s="4" t="s">
        <v>4</v>
      </c>
      <c r="G1" s="2" t="s">
        <v>5</v>
      </c>
      <c r="H1" s="4" t="s">
        <v>6</v>
      </c>
    </row>
    <row r="2" ht="12.75" customHeight="1">
      <c r="A2" s="1" t="s">
        <v>7</v>
      </c>
      <c r="B2" s="1"/>
      <c r="C2" s="2"/>
      <c r="D2" s="3"/>
      <c r="F2" s="4"/>
      <c r="G2" s="2"/>
      <c r="H2" s="4"/>
    </row>
    <row r="3" ht="12.75" customHeight="1">
      <c r="A3" s="1"/>
      <c r="B3" s="1" t="s">
        <v>8</v>
      </c>
      <c r="C3" s="2" t="s">
        <v>9</v>
      </c>
      <c r="D3" s="3">
        <v>75000000</v>
      </c>
      <c r="F3" s="4">
        <v>46321</v>
      </c>
      <c r="G3" s="2" t="s">
        <v>10</v>
      </c>
      <c r="H3" s="4">
        <v>46163</v>
      </c>
    </row>
    <row r="4" ht="12.75" customHeight="1">
      <c r="A4" s="1"/>
      <c r="B4" s="1" t="s">
        <v>11</v>
      </c>
      <c r="C4" s="2" t="s">
        <v>12</v>
      </c>
      <c r="D4" s="3">
        <v>87500000</v>
      </c>
      <c r="F4" s="4">
        <v>46528</v>
      </c>
      <c r="G4" s="2" t="s">
        <v>10</v>
      </c>
      <c r="H4" s="4">
        <v>46129</v>
      </c>
    </row>
    <row r="5" ht="12.75" customHeight="1">
      <c r="A5" s="1"/>
      <c r="B5" s="1" t="s">
        <v>13</v>
      </c>
      <c r="C5" s="2" t="s">
        <v>14</v>
      </c>
      <c r="D5" s="3">
        <v>300000000</v>
      </c>
      <c r="F5" s="4">
        <v>46521</v>
      </c>
      <c r="G5" s="2" t="s">
        <v>10</v>
      </c>
      <c r="H5" s="4">
        <v>46136</v>
      </c>
    </row>
    <row r="6" ht="12.75" customHeight="1">
      <c r="A6" s="1"/>
      <c r="B6" s="1" t="s">
        <v>15</v>
      </c>
      <c r="C6" s="2" t="s">
        <v>16</v>
      </c>
      <c r="D6" s="3">
        <v>67829457</v>
      </c>
      <c r="F6" s="4">
        <v>46450</v>
      </c>
      <c r="G6" s="2" t="s">
        <v>10</v>
      </c>
      <c r="H6" s="4">
        <v>46114</v>
      </c>
    </row>
    <row r="7" ht="12.75" customHeight="1">
      <c r="A7" s="1"/>
      <c r="B7" s="1" t="s">
        <v>17</v>
      </c>
      <c r="C7" s="2" t="s">
        <v>18</v>
      </c>
      <c r="D7" s="3">
        <v>100000000</v>
      </c>
      <c r="F7" s="4">
        <v>46764</v>
      </c>
      <c r="G7" s="2" t="s">
        <v>10</v>
      </c>
      <c r="H7" s="4">
        <v>46155</v>
      </c>
    </row>
    <row r="8" ht="12.75" customHeight="1">
      <c r="A8" s="1"/>
      <c r="B8" s="1" t="s">
        <v>19</v>
      </c>
      <c r="C8" s="2" t="s">
        <v>18</v>
      </c>
      <c r="D8" s="3">
        <v>112000000</v>
      </c>
      <c r="F8" s="4">
        <v>46589</v>
      </c>
      <c r="G8" s="2" t="s">
        <v>10</v>
      </c>
      <c r="H8" s="4">
        <v>45861</v>
      </c>
    </row>
    <row r="9" ht="12.75" customHeight="1">
      <c r="A9" s="1"/>
      <c r="B9" s="1" t="s">
        <v>20</v>
      </c>
      <c r="C9" s="2" t="s">
        <v>21</v>
      </c>
      <c r="D9" s="3">
        <v>92000000</v>
      </c>
      <c r="F9" s="4">
        <v>46367</v>
      </c>
      <c r="G9" s="2" t="s">
        <v>10</v>
      </c>
      <c r="H9" s="4">
        <v>46158</v>
      </c>
    </row>
    <row r="10" ht="12.75" customHeight="1">
      <c r="A10" s="1"/>
      <c r="B10" s="1" t="s">
        <v>22</v>
      </c>
      <c r="C10" s="2" t="s">
        <v>23</v>
      </c>
      <c r="D10" s="3">
        <v>112000000</v>
      </c>
      <c r="F10" s="4">
        <v>46589</v>
      </c>
      <c r="G10" s="2" t="s">
        <v>10</v>
      </c>
      <c r="H10" s="4">
        <v>45861</v>
      </c>
    </row>
    <row r="11" ht="12.75" customHeight="1">
      <c r="A11" s="1"/>
      <c r="B11" s="1" t="s">
        <v>24</v>
      </c>
      <c r="C11" s="2" t="s">
        <v>25</v>
      </c>
      <c r="D11" s="3">
        <v>300000000</v>
      </c>
      <c r="F11" s="4">
        <v>46640</v>
      </c>
      <c r="G11" s="2" t="s">
        <v>10</v>
      </c>
      <c r="H11" s="4">
        <v>45917</v>
      </c>
    </row>
    <row r="12" ht="12.75" customHeight="1">
      <c r="A12" s="1"/>
      <c r="B12" s="1" t="s">
        <v>26</v>
      </c>
      <c r="C12" s="2" t="s">
        <v>27</v>
      </c>
      <c r="D12" s="3">
        <v>135000000</v>
      </c>
      <c r="F12" s="4">
        <v>46521</v>
      </c>
      <c r="G12" s="2" t="s">
        <v>10</v>
      </c>
      <c r="H12" s="4">
        <v>46158</v>
      </c>
    </row>
    <row r="13" ht="12.75" customHeight="1">
      <c r="A13" s="1"/>
      <c r="B13" s="1" t="s">
        <v>28</v>
      </c>
      <c r="C13" s="2" t="s">
        <v>29</v>
      </c>
      <c r="D13" s="3">
        <v>73076924</v>
      </c>
      <c r="F13" s="4">
        <v>46492</v>
      </c>
      <c r="G13" s="2" t="s">
        <v>10</v>
      </c>
      <c r="H13" s="4">
        <v>46129</v>
      </c>
    </row>
    <row r="14" ht="12.75" customHeight="1">
      <c r="A14" s="1"/>
      <c r="B14" s="1" t="s">
        <v>30</v>
      </c>
      <c r="C14" s="2" t="s">
        <v>31</v>
      </c>
      <c r="D14" s="3">
        <v>45000000</v>
      </c>
      <c r="F14" s="4">
        <v>46402</v>
      </c>
      <c r="G14" s="2" t="s">
        <v>10</v>
      </c>
      <c r="H14" s="4">
        <v>46184</v>
      </c>
    </row>
    <row r="15" ht="12.75" customHeight="1">
      <c r="A15" s="1"/>
      <c r="B15" s="1" t="s">
        <v>32</v>
      </c>
      <c r="C15" s="2" t="s">
        <v>33</v>
      </c>
      <c r="D15" s="3">
        <v>175000000</v>
      </c>
      <c r="F15" s="4">
        <v>46633</v>
      </c>
      <c r="G15" s="2" t="s">
        <v>10</v>
      </c>
      <c r="H15" s="4">
        <v>45906</v>
      </c>
    </row>
    <row r="16" ht="12.75" customHeight="1">
      <c r="A16" s="1"/>
      <c r="B16" s="1" t="s">
        <v>34</v>
      </c>
      <c r="C16" s="2" t="s">
        <v>35</v>
      </c>
      <c r="D16" s="3">
        <v>75000000</v>
      </c>
      <c r="F16" s="4">
        <v>46619</v>
      </c>
      <c r="G16" s="2" t="s">
        <v>10</v>
      </c>
      <c r="H16" s="4">
        <v>45890</v>
      </c>
    </row>
    <row r="17" ht="12.75" customHeight="1">
      <c r="A17" s="1"/>
      <c r="B17" s="1" t="s">
        <v>36</v>
      </c>
      <c r="C17" s="2" t="s">
        <v>37</v>
      </c>
      <c r="D17" s="3">
        <v>300000000</v>
      </c>
      <c r="F17" s="4">
        <v>46832</v>
      </c>
      <c r="G17" s="2" t="s">
        <v>10</v>
      </c>
      <c r="H17" s="4">
        <v>46156</v>
      </c>
    </row>
    <row r="18" ht="12.75" customHeight="1">
      <c r="A18" s="1"/>
      <c r="B18" s="1" t="s">
        <v>38</v>
      </c>
      <c r="C18" s="2" t="s">
        <v>39</v>
      </c>
      <c r="D18" s="3">
        <v>175000000</v>
      </c>
      <c r="F18" s="4">
        <v>47025</v>
      </c>
      <c r="G18" s="2" t="s">
        <v>10</v>
      </c>
      <c r="H18" s="4">
        <v>46056</v>
      </c>
    </row>
    <row r="19" ht="12.75" customHeight="1">
      <c r="A19" s="1"/>
      <c r="B19" s="1"/>
      <c r="D19" s="2" t="s">
        <v>40</v>
      </c>
      <c r="E19" s="3">
        <f t="shared" si="3" ref="E19:E104">SUM(D3:D18)</f>
        <v>2224406381</v>
      </c>
      <c r="F19" s="4"/>
      <c r="G19" s="2"/>
      <c r="H19" s="4"/>
    </row>
    <row r="20" ht="12.75" customHeight="1">
      <c r="A20" s="1" t="s">
        <v>41</v>
      </c>
      <c r="B20" s="1"/>
      <c r="C20" s="2"/>
      <c r="D20" s="3"/>
      <c r="F20" s="4"/>
      <c r="G20" s="2"/>
      <c r="H20" s="4"/>
    </row>
    <row r="21" ht="12.75" customHeight="1">
      <c r="A21" s="1"/>
      <c r="B21" s="1" t="s">
        <v>42</v>
      </c>
      <c r="C21" s="2" t="s">
        <v>43</v>
      </c>
      <c r="D21" s="3">
        <v>200000000</v>
      </c>
      <c r="F21" s="4">
        <v>46241</v>
      </c>
      <c r="G21" s="2" t="s">
        <v>10</v>
      </c>
      <c r="H21" s="4">
        <v>46088</v>
      </c>
    </row>
    <row r="22" ht="12.75" customHeight="1">
      <c r="A22" s="1"/>
      <c r="B22" s="1" t="s">
        <v>44</v>
      </c>
      <c r="C22" s="2" t="s">
        <v>45</v>
      </c>
      <c r="D22" s="3">
        <v>132500000</v>
      </c>
      <c r="F22" s="4">
        <v>46380</v>
      </c>
      <c r="G22" s="2" t="s">
        <v>10</v>
      </c>
      <c r="H22" s="4">
        <v>45987</v>
      </c>
    </row>
    <row r="23" ht="12.75" customHeight="1">
      <c r="A23" s="1"/>
      <c r="B23" s="1"/>
      <c r="D23" s="2" t="s">
        <v>40</v>
      </c>
      <c r="E23" s="3">
        <f>SUM(D21,D22)</f>
        <v>332500000</v>
      </c>
      <c r="F23" s="4"/>
      <c r="G23" s="2"/>
      <c r="H23" s="4"/>
    </row>
    <row r="24" ht="12.75" customHeight="1">
      <c r="A24" s="1" t="s">
        <v>46</v>
      </c>
      <c r="B24" s="1"/>
      <c r="C24" s="2"/>
      <c r="D24" s="3"/>
      <c r="F24" s="4"/>
      <c r="G24" s="2"/>
      <c r="H24" s="4"/>
    </row>
    <row r="25" ht="12.75" customHeight="1">
      <c r="A25" s="1"/>
      <c r="B25" s="1" t="s">
        <v>47</v>
      </c>
      <c r="C25" s="2" t="s">
        <v>48</v>
      </c>
      <c r="D25" s="3">
        <v>150000000</v>
      </c>
      <c r="F25" s="4">
        <v>46395</v>
      </c>
      <c r="G25" s="2" t="s">
        <v>10</v>
      </c>
      <c r="H25" s="4">
        <v>46023</v>
      </c>
    </row>
    <row r="26" ht="12.75" customHeight="1">
      <c r="A26" s="1"/>
      <c r="B26" s="1"/>
      <c r="D26" s="2" t="s">
        <v>40</v>
      </c>
      <c r="E26" s="3">
        <f t="shared" si="1" ref="E26:E86">SUM(D25)</f>
        <v>150000000</v>
      </c>
      <c r="F26" s="4"/>
      <c r="G26" s="2"/>
      <c r="H26" s="4"/>
    </row>
    <row r="27" ht="12.75" customHeight="1">
      <c r="A27" s="1" t="s">
        <v>49</v>
      </c>
      <c r="B27" s="1"/>
      <c r="C27" s="2"/>
      <c r="D27" s="3"/>
      <c r="F27" s="4"/>
      <c r="G27" s="2"/>
      <c r="H27" s="4"/>
    </row>
    <row r="28" ht="12.75" customHeight="1">
      <c r="A28" s="1"/>
      <c r="B28" s="1" t="s">
        <v>50</v>
      </c>
      <c r="C28" s="2" t="s">
        <v>51</v>
      </c>
      <c r="D28" s="3">
        <v>165000000</v>
      </c>
      <c r="F28" s="4">
        <v>46533</v>
      </c>
      <c r="G28" s="2" t="s">
        <v>10</v>
      </c>
      <c r="H28" s="4">
        <v>46162</v>
      </c>
    </row>
    <row r="29" ht="12.75" customHeight="1">
      <c r="A29" s="1"/>
      <c r="B29" s="1"/>
      <c r="D29" s="2" t="s">
        <v>40</v>
      </c>
      <c r="E29" s="3">
        <f t="shared" si="0" ref="E29:E32">SUM($D28)</f>
        <v>165000000</v>
      </c>
      <c r="F29" s="4"/>
      <c r="G29" s="2"/>
      <c r="H29" s="4"/>
    </row>
    <row r="30" ht="12.75" customHeight="1">
      <c r="A30" s="1" t="s">
        <v>52</v>
      </c>
      <c r="B30" s="1"/>
      <c r="C30" s="2"/>
      <c r="D30" s="3"/>
      <c r="F30" s="4"/>
      <c r="G30" s="2"/>
      <c r="H30" s="4"/>
    </row>
    <row r="31" ht="12.75" customHeight="1">
      <c r="A31" s="1"/>
      <c r="B31" s="1" t="s">
        <v>53</v>
      </c>
      <c r="C31" s="2" t="s">
        <v>54</v>
      </c>
      <c r="D31" s="3">
        <v>125000000</v>
      </c>
      <c r="F31" s="4">
        <v>46274</v>
      </c>
      <c r="G31" s="2" t="s">
        <v>10</v>
      </c>
      <c r="H31" s="4">
        <v>46024</v>
      </c>
    </row>
    <row r="32" ht="12.75" customHeight="1">
      <c r="A32" s="1"/>
      <c r="B32" s="1"/>
      <c r="D32" s="2" t="s">
        <v>40</v>
      </c>
      <c r="E32" s="3">
        <f t="shared" si="0"/>
        <v>125000000</v>
      </c>
      <c r="F32" s="4"/>
      <c r="G32" s="2"/>
      <c r="H32" s="4"/>
    </row>
    <row r="33" ht="12.75" customHeight="1">
      <c r="A33" s="1" t="s">
        <v>55</v>
      </c>
      <c r="B33" s="1"/>
      <c r="C33" s="2"/>
      <c r="D33" s="3"/>
      <c r="F33" s="4"/>
      <c r="G33" s="2"/>
      <c r="H33" s="4"/>
    </row>
    <row r="34" ht="12.75" customHeight="1">
      <c r="A34" s="1"/>
      <c r="B34" s="1" t="s">
        <v>56</v>
      </c>
      <c r="C34" s="2" t="s">
        <v>57</v>
      </c>
      <c r="D34" s="3">
        <v>213157895</v>
      </c>
      <c r="F34" s="4">
        <v>46209</v>
      </c>
      <c r="G34" s="2" t="s">
        <v>10</v>
      </c>
      <c r="H34" s="4">
        <v>46142</v>
      </c>
    </row>
    <row r="35" ht="12.75" customHeight="1">
      <c r="A35" s="1"/>
      <c r="B35" s="1" t="s">
        <v>58</v>
      </c>
      <c r="C35" s="2" t="s">
        <v>59</v>
      </c>
      <c r="D35" s="3">
        <v>100000000</v>
      </c>
      <c r="F35" s="4">
        <v>46668</v>
      </c>
      <c r="G35" s="2" t="s">
        <v>10</v>
      </c>
      <c r="H35" s="4">
        <v>45941</v>
      </c>
    </row>
    <row r="36" ht="12.75" customHeight="1">
      <c r="A36" s="1"/>
      <c r="B36" s="1" t="s">
        <v>60</v>
      </c>
      <c r="C36" s="2" t="s">
        <v>61</v>
      </c>
      <c r="D36" s="3">
        <v>140000000</v>
      </c>
      <c r="F36" s="4">
        <v>46262</v>
      </c>
      <c r="G36" s="2" t="s">
        <v>10</v>
      </c>
      <c r="H36" s="4">
        <v>45898</v>
      </c>
    </row>
    <row r="37" ht="12.75" customHeight="1">
      <c r="A37" s="1"/>
      <c r="B37" s="1" t="s">
        <v>62</v>
      </c>
      <c r="C37" s="2" t="s">
        <v>63</v>
      </c>
      <c r="D37" s="3">
        <v>250000000</v>
      </c>
      <c r="F37" s="4">
        <v>46254</v>
      </c>
      <c r="G37" s="2" t="s">
        <v>10</v>
      </c>
      <c r="H37" s="4">
        <v>45890</v>
      </c>
    </row>
    <row r="38" ht="12.75" customHeight="1">
      <c r="A38" s="1"/>
      <c r="B38" s="1" t="s">
        <v>64</v>
      </c>
      <c r="C38" s="2" t="s">
        <v>65</v>
      </c>
      <c r="D38" s="3">
        <v>44200000</v>
      </c>
      <c r="F38" s="4">
        <v>46195</v>
      </c>
      <c r="G38" s="2" t="s">
        <v>10</v>
      </c>
      <c r="H38" s="4">
        <v>46119</v>
      </c>
    </row>
    <row r="39" ht="12.75" customHeight="1">
      <c r="A39" s="1"/>
      <c r="B39" s="1" t="s">
        <v>66</v>
      </c>
      <c r="C39" s="2" t="s">
        <v>67</v>
      </c>
      <c r="D39" s="3">
        <v>200000000</v>
      </c>
      <c r="F39" s="4">
        <v>46498</v>
      </c>
      <c r="G39" s="2" t="s">
        <v>10</v>
      </c>
      <c r="H39" s="4">
        <v>46143</v>
      </c>
    </row>
    <row r="40" ht="12.75" customHeight="1">
      <c r="A40" s="1"/>
      <c r="B40" s="1"/>
      <c r="D40" s="2" t="s">
        <v>40</v>
      </c>
      <c r="E40" s="3">
        <f>SUM(D34:D39)</f>
        <v>947357895</v>
      </c>
      <c r="F40" s="4"/>
      <c r="G40" s="2"/>
      <c r="H40" s="4"/>
    </row>
    <row r="41" ht="12.75" customHeight="1">
      <c r="A41" s="1" t="s">
        <v>68</v>
      </c>
      <c r="B41" s="1"/>
      <c r="C41" s="2"/>
      <c r="D41" s="3"/>
      <c r="F41" s="4"/>
      <c r="G41" s="2"/>
      <c r="H41" s="4"/>
    </row>
    <row r="42" ht="12.75" customHeight="1">
      <c r="A42" s="1"/>
      <c r="B42" s="1" t="s">
        <v>69</v>
      </c>
      <c r="C42" s="2" t="s">
        <v>70</v>
      </c>
      <c r="D42" s="3">
        <v>99525317</v>
      </c>
      <c r="F42" s="4">
        <v>46458</v>
      </c>
      <c r="G42" s="2" t="s">
        <v>10</v>
      </c>
      <c r="H42" s="4">
        <v>46102</v>
      </c>
    </row>
    <row r="43" ht="12.75" customHeight="1">
      <c r="A43" s="1"/>
      <c r="B43" s="1"/>
      <c r="D43" s="2" t="s">
        <v>40</v>
      </c>
      <c r="E43" s="3">
        <f t="shared" si="1"/>
        <v>99525317</v>
      </c>
      <c r="F43" s="4"/>
      <c r="G43" s="2"/>
      <c r="H43" s="4"/>
    </row>
    <row r="44" ht="12.75" customHeight="1">
      <c r="A44" s="1" t="s">
        <v>71</v>
      </c>
      <c r="B44" s="1"/>
      <c r="C44" s="2"/>
      <c r="D44" s="3"/>
      <c r="F44" s="4"/>
      <c r="G44" s="2"/>
      <c r="H44" s="4"/>
    </row>
    <row r="45" ht="12.75" customHeight="1">
      <c r="A45" s="1"/>
      <c r="B45" s="1" t="s">
        <v>72</v>
      </c>
      <c r="C45" s="2" t="s">
        <v>73</v>
      </c>
      <c r="D45" s="3">
        <v>165000000</v>
      </c>
      <c r="F45" s="4">
        <v>46339</v>
      </c>
      <c r="G45" s="2" t="s">
        <v>10</v>
      </c>
      <c r="H45" s="4">
        <v>45905</v>
      </c>
    </row>
    <row r="46" ht="12.75" customHeight="1">
      <c r="A46" s="1"/>
      <c r="B46" s="1"/>
      <c r="D46" s="2" t="s">
        <v>40</v>
      </c>
      <c r="E46" s="3">
        <f t="shared" si="1"/>
        <v>165000000</v>
      </c>
      <c r="F46" s="4"/>
      <c r="G46" s="2"/>
      <c r="H46" s="4"/>
    </row>
    <row r="47" ht="12.75" customHeight="1">
      <c r="A47" s="1" t="s">
        <v>74</v>
      </c>
      <c r="B47" s="1"/>
      <c r="C47" s="2"/>
      <c r="D47" s="3"/>
      <c r="F47" s="4"/>
      <c r="G47" s="2"/>
      <c r="H47" s="4"/>
    </row>
    <row r="48" ht="12.75" customHeight="1">
      <c r="A48" s="1"/>
      <c r="B48" s="1" t="s">
        <v>75</v>
      </c>
      <c r="C48" s="2" t="s">
        <v>76</v>
      </c>
      <c r="D48" s="3">
        <v>200000000</v>
      </c>
      <c r="F48" s="4">
        <v>46934</v>
      </c>
      <c r="G48" s="2" t="s">
        <v>10</v>
      </c>
      <c r="H48" s="4">
        <v>46127</v>
      </c>
    </row>
    <row r="49" ht="12.75" customHeight="1">
      <c r="A49" s="1"/>
      <c r="B49" s="1" t="s">
        <v>77</v>
      </c>
      <c r="C49" s="2" t="s">
        <v>78</v>
      </c>
      <c r="D49" s="3">
        <v>170000000</v>
      </c>
      <c r="F49" s="4">
        <v>46477</v>
      </c>
      <c r="G49" s="2" t="s">
        <v>10</v>
      </c>
      <c r="H49" s="4">
        <v>46114</v>
      </c>
    </row>
    <row r="50" ht="12.75" customHeight="1">
      <c r="A50" s="1"/>
      <c r="B50" s="1"/>
      <c r="D50" s="2" t="s">
        <v>40</v>
      </c>
      <c r="E50" s="3">
        <f t="shared" si="2" ref="E50:E83">SUM(D48:D49)</f>
        <v>370000000</v>
      </c>
      <c r="F50" s="4"/>
      <c r="G50" s="2"/>
      <c r="H50" s="4"/>
    </row>
    <row r="51" ht="12.75" customHeight="1">
      <c r="A51" s="1" t="s">
        <v>79</v>
      </c>
      <c r="B51" s="1"/>
      <c r="C51" s="2"/>
      <c r="D51" s="3"/>
      <c r="F51" s="4"/>
      <c r="G51" s="2"/>
      <c r="H51" s="4"/>
    </row>
    <row r="52" ht="12.75" customHeight="1">
      <c r="A52" s="1"/>
      <c r="B52" s="1" t="s">
        <v>80</v>
      </c>
      <c r="C52" s="2" t="s">
        <v>81</v>
      </c>
      <c r="D52" s="3">
        <v>240000000</v>
      </c>
      <c r="F52" s="4">
        <v>46304</v>
      </c>
      <c r="G52" s="2" t="s">
        <v>10</v>
      </c>
      <c r="H52" s="4">
        <v>46037</v>
      </c>
    </row>
    <row r="53" ht="12.75" customHeight="1">
      <c r="A53" s="1"/>
      <c r="B53" s="1" t="s">
        <v>82</v>
      </c>
      <c r="C53" s="2" t="s">
        <v>83</v>
      </c>
      <c r="D53" s="3">
        <v>138000000</v>
      </c>
      <c r="F53" s="4">
        <v>46248</v>
      </c>
      <c r="G53" s="2" t="s">
        <v>10</v>
      </c>
      <c r="H53" s="4">
        <v>46113</v>
      </c>
    </row>
    <row r="54" ht="12.75" customHeight="1">
      <c r="A54" s="1"/>
      <c r="B54" s="1" t="s">
        <v>84</v>
      </c>
      <c r="C54" s="2" t="s">
        <v>85</v>
      </c>
      <c r="D54" s="3">
        <v>143285718</v>
      </c>
      <c r="F54" s="4">
        <v>46238</v>
      </c>
      <c r="G54" s="2" t="s">
        <v>10</v>
      </c>
      <c r="H54" s="4">
        <v>45870</v>
      </c>
    </row>
    <row r="55" ht="12.75" customHeight="1">
      <c r="A55" s="1"/>
      <c r="B55" s="1" t="s">
        <v>86</v>
      </c>
      <c r="C55" s="2" t="s">
        <v>87</v>
      </c>
      <c r="D55" s="3">
        <v>156250000</v>
      </c>
      <c r="F55" s="4">
        <v>46247</v>
      </c>
      <c r="G55" s="2" t="s">
        <v>10</v>
      </c>
      <c r="H55" s="4">
        <v>46126</v>
      </c>
    </row>
    <row r="56" ht="12.75" customHeight="1">
      <c r="A56" s="1"/>
      <c r="B56" s="1"/>
      <c r="D56" s="2" t="s">
        <v>40</v>
      </c>
      <c r="E56" s="3">
        <f>SUM(D52:D55)</f>
        <v>677535718</v>
      </c>
      <c r="F56" s="4"/>
      <c r="G56" s="2"/>
      <c r="H56" s="4"/>
    </row>
    <row r="57" ht="12.75" customHeight="1">
      <c r="A57" s="1" t="s">
        <v>88</v>
      </c>
      <c r="B57" s="1"/>
      <c r="C57" s="2"/>
      <c r="D57" s="3"/>
      <c r="F57" s="4"/>
      <c r="G57" s="2"/>
      <c r="H57" s="4"/>
    </row>
    <row r="58" ht="12.75" customHeight="1">
      <c r="A58" s="1"/>
      <c r="B58" s="1" t="s">
        <v>89</v>
      </c>
      <c r="C58" s="2" t="s">
        <v>90</v>
      </c>
      <c r="D58" s="3">
        <v>292050000</v>
      </c>
      <c r="F58" s="4">
        <v>46197</v>
      </c>
      <c r="G58" s="2" t="s">
        <v>10</v>
      </c>
      <c r="H58" s="4">
        <v>45833</v>
      </c>
    </row>
    <row r="59" ht="12.75" customHeight="1">
      <c r="A59" s="1"/>
      <c r="B59" s="1" t="s">
        <v>89</v>
      </c>
      <c r="C59" s="2" t="s">
        <v>91</v>
      </c>
      <c r="D59" s="3">
        <v>7950000</v>
      </c>
      <c r="F59" s="4">
        <v>46197</v>
      </c>
      <c r="G59" s="2" t="s">
        <v>10</v>
      </c>
      <c r="H59" s="4">
        <v>45833</v>
      </c>
    </row>
    <row r="60" ht="12.75" customHeight="1">
      <c r="A60" s="1"/>
      <c r="B60" s="1"/>
      <c r="D60" s="2" t="s">
        <v>40</v>
      </c>
      <c r="E60" s="3">
        <f t="shared" si="2"/>
        <v>300000000</v>
      </c>
      <c r="F60" s="4"/>
      <c r="G60" s="2"/>
      <c r="H60" s="4"/>
    </row>
    <row r="61" ht="12.75" customHeight="1">
      <c r="A61" s="1" t="s">
        <v>92</v>
      </c>
      <c r="B61" s="1"/>
      <c r="C61" s="2"/>
      <c r="D61" s="3"/>
      <c r="F61" s="4"/>
      <c r="G61" s="2"/>
      <c r="H61" s="4"/>
    </row>
    <row r="62" ht="12.75" customHeight="1">
      <c r="A62" s="1"/>
      <c r="B62" s="1" t="s">
        <v>93</v>
      </c>
      <c r="C62" s="2" t="s">
        <v>94</v>
      </c>
      <c r="D62" s="3">
        <v>150000000</v>
      </c>
      <c r="F62" s="4">
        <v>46864</v>
      </c>
      <c r="G62" s="2" t="s">
        <v>10</v>
      </c>
      <c r="H62" s="4">
        <v>46134</v>
      </c>
    </row>
    <row r="63" ht="12.75" customHeight="1">
      <c r="A63" s="1"/>
      <c r="B63" s="1"/>
      <c r="D63" s="2" t="s">
        <v>40</v>
      </c>
      <c r="E63" s="3">
        <f t="shared" si="1"/>
        <v>150000000</v>
      </c>
      <c r="F63" s="4"/>
      <c r="G63" s="2"/>
      <c r="H63" s="4"/>
    </row>
    <row r="64" ht="12.75" customHeight="1">
      <c r="A64" s="1" t="s">
        <v>95</v>
      </c>
      <c r="B64" s="1"/>
      <c r="C64" s="2"/>
      <c r="D64" s="3"/>
      <c r="F64" s="4"/>
      <c r="G64" s="2"/>
      <c r="H64" s="4"/>
    </row>
    <row r="65" ht="12.75" customHeight="1">
      <c r="A65" s="1"/>
      <c r="B65" s="1" t="s">
        <v>96</v>
      </c>
      <c r="C65" s="2" t="s">
        <v>97</v>
      </c>
      <c r="D65" s="3">
        <v>180000000</v>
      </c>
      <c r="F65" s="4">
        <v>46415</v>
      </c>
      <c r="G65" s="2" t="s">
        <v>10</v>
      </c>
      <c r="H65" s="4">
        <v>46051</v>
      </c>
    </row>
    <row r="66" ht="12.75" customHeight="1">
      <c r="A66" s="1"/>
      <c r="B66" s="1" t="s">
        <v>98</v>
      </c>
      <c r="C66" s="2" t="s">
        <v>99</v>
      </c>
      <c r="D66" s="3">
        <v>100480770</v>
      </c>
      <c r="F66" s="4">
        <v>46373</v>
      </c>
      <c r="G66" s="2" t="s">
        <v>10</v>
      </c>
      <c r="H66" s="4">
        <v>46142</v>
      </c>
    </row>
    <row r="67" ht="12.75" customHeight="1">
      <c r="A67" s="1"/>
      <c r="B67" s="1" t="s">
        <v>100</v>
      </c>
      <c r="C67" s="2" t="s">
        <v>101</v>
      </c>
      <c r="D67" s="3">
        <v>105000000</v>
      </c>
      <c r="F67" s="4">
        <v>46534</v>
      </c>
      <c r="G67" s="2" t="s">
        <v>10</v>
      </c>
      <c r="H67" s="4">
        <v>46172</v>
      </c>
    </row>
    <row r="68" ht="12.75" customHeight="1">
      <c r="A68" s="1"/>
      <c r="B68" s="1" t="s">
        <v>102</v>
      </c>
      <c r="C68" s="2" t="s">
        <v>103</v>
      </c>
      <c r="D68" s="3">
        <v>120000000</v>
      </c>
      <c r="F68" s="4">
        <v>46415</v>
      </c>
      <c r="G68" s="2" t="s">
        <v>10</v>
      </c>
      <c r="H68" s="4">
        <v>46051</v>
      </c>
    </row>
    <row r="69" ht="12.75" customHeight="1">
      <c r="A69" s="1"/>
      <c r="B69" s="1" t="s">
        <v>104</v>
      </c>
      <c r="C69" s="2" t="s">
        <v>105</v>
      </c>
      <c r="D69" s="3">
        <v>75000000</v>
      </c>
      <c r="F69" s="4">
        <v>46197</v>
      </c>
      <c r="G69" s="2" t="s">
        <v>10</v>
      </c>
      <c r="H69" s="4">
        <v>46183</v>
      </c>
    </row>
    <row r="70" ht="12.75" customHeight="1">
      <c r="A70" s="1"/>
      <c r="B70" s="1" t="s">
        <v>106</v>
      </c>
      <c r="C70" s="2" t="s">
        <v>107</v>
      </c>
      <c r="D70" s="3">
        <v>100480770</v>
      </c>
      <c r="F70" s="4">
        <v>46373</v>
      </c>
      <c r="G70" s="2" t="s">
        <v>10</v>
      </c>
      <c r="H70" s="4">
        <v>46142</v>
      </c>
    </row>
    <row r="71" ht="12.75" customHeight="1">
      <c r="A71" s="1"/>
      <c r="B71" s="1" t="s">
        <v>108</v>
      </c>
      <c r="C71" s="2" t="s">
        <v>109</v>
      </c>
      <c r="D71" s="3">
        <v>75000000</v>
      </c>
      <c r="F71" s="4">
        <v>46197</v>
      </c>
      <c r="G71" s="2" t="s">
        <v>10</v>
      </c>
      <c r="H71" s="4">
        <v>46183</v>
      </c>
    </row>
    <row r="72" ht="12.75" customHeight="1">
      <c r="A72" s="1"/>
      <c r="B72" s="1" t="s">
        <v>110</v>
      </c>
      <c r="C72" s="2" t="s">
        <v>111</v>
      </c>
      <c r="D72" s="3">
        <v>50000000</v>
      </c>
      <c r="F72" s="4">
        <v>46248</v>
      </c>
      <c r="G72" s="2" t="s">
        <v>10</v>
      </c>
      <c r="H72" s="4">
        <v>46122</v>
      </c>
    </row>
    <row r="73" ht="12.75" customHeight="1">
      <c r="A73" s="1"/>
      <c r="B73" s="1" t="s">
        <v>112</v>
      </c>
      <c r="C73" s="2" t="s">
        <v>113</v>
      </c>
      <c r="D73" s="3">
        <v>50000000</v>
      </c>
      <c r="F73" s="4">
        <v>46248</v>
      </c>
      <c r="G73" s="2" t="s">
        <v>10</v>
      </c>
      <c r="H73" s="4">
        <v>46122</v>
      </c>
    </row>
    <row r="74" ht="12.75" customHeight="1">
      <c r="A74" s="1"/>
      <c r="B74" s="1" t="s">
        <v>100</v>
      </c>
      <c r="C74" s="2" t="s">
        <v>114</v>
      </c>
      <c r="D74" s="3">
        <v>70000000</v>
      </c>
      <c r="F74" s="4">
        <v>46534</v>
      </c>
      <c r="G74" s="2" t="s">
        <v>10</v>
      </c>
      <c r="H74" s="4">
        <v>46170</v>
      </c>
    </row>
    <row r="75" ht="12.75" customHeight="1">
      <c r="A75" s="1"/>
      <c r="B75" s="1"/>
      <c r="D75" s="2" t="s">
        <v>40</v>
      </c>
      <c r="E75" s="3">
        <f>SUM(D65:D74)</f>
        <v>925961540</v>
      </c>
      <c r="F75" s="4"/>
      <c r="G75" s="2"/>
      <c r="H75" s="4"/>
    </row>
    <row r="76" ht="12.75" customHeight="1">
      <c r="A76" s="1" t="s">
        <v>115</v>
      </c>
      <c r="B76" s="1"/>
      <c r="C76" s="2"/>
      <c r="D76" s="3"/>
      <c r="F76" s="4"/>
      <c r="G76" s="2"/>
      <c r="H76" s="4"/>
    </row>
    <row r="77" ht="12.75" customHeight="1">
      <c r="A77" s="1"/>
      <c r="B77" s="1" t="s">
        <v>116</v>
      </c>
      <c r="C77" s="2" t="s">
        <v>117</v>
      </c>
      <c r="D77" s="3">
        <v>164705883</v>
      </c>
      <c r="F77" s="4">
        <v>46360</v>
      </c>
      <c r="G77" s="2" t="s">
        <v>10</v>
      </c>
      <c r="H77" s="4">
        <v>45996</v>
      </c>
    </row>
    <row r="78" ht="12.75" customHeight="1">
      <c r="A78" s="1"/>
      <c r="B78" s="1" t="s">
        <v>118</v>
      </c>
      <c r="C78" s="2" t="s">
        <v>119</v>
      </c>
      <c r="D78" s="3">
        <v>300000000</v>
      </c>
      <c r="F78" s="4">
        <v>46479</v>
      </c>
      <c r="G78" s="2" t="s">
        <v>10</v>
      </c>
      <c r="H78" s="4">
        <v>46158</v>
      </c>
    </row>
    <row r="79" ht="12.75" customHeight="1">
      <c r="A79" s="1"/>
      <c r="B79" s="1"/>
      <c r="D79" s="2" t="s">
        <v>40</v>
      </c>
      <c r="E79" s="3">
        <f>SUM(D76:D77)</f>
        <v>164705883</v>
      </c>
      <c r="F79" s="4"/>
      <c r="G79" s="2"/>
      <c r="H79" s="4"/>
    </row>
    <row r="80" ht="12.75" customHeight="1">
      <c r="A80" s="1" t="s">
        <v>120</v>
      </c>
      <c r="B80" s="1"/>
      <c r="C80" s="2"/>
      <c r="D80" s="3"/>
      <c r="F80" s="4"/>
      <c r="G80" s="2"/>
      <c r="H80" s="4"/>
    </row>
    <row r="81" ht="12.75" customHeight="1">
      <c r="A81" s="1"/>
      <c r="B81" s="1" t="s">
        <v>121</v>
      </c>
      <c r="C81" s="2" t="s">
        <v>122</v>
      </c>
      <c r="D81" s="3">
        <v>75000000</v>
      </c>
      <c r="F81" s="4">
        <v>46528</v>
      </c>
      <c r="G81" s="2" t="s">
        <v>10</v>
      </c>
      <c r="H81" s="4">
        <v>46168</v>
      </c>
    </row>
    <row r="82" ht="12.75" customHeight="1">
      <c r="A82" s="1"/>
      <c r="B82" s="1" t="s">
        <v>123</v>
      </c>
      <c r="C82" s="2" t="s">
        <v>124</v>
      </c>
      <c r="D82" s="3">
        <v>75000000</v>
      </c>
      <c r="F82" s="4">
        <v>46346</v>
      </c>
      <c r="G82" s="2" t="s">
        <v>10</v>
      </c>
      <c r="H82" s="4">
        <v>45987</v>
      </c>
    </row>
    <row r="83" ht="12.75" customHeight="1">
      <c r="A83" s="1"/>
      <c r="B83" s="1"/>
      <c r="D83" s="2" t="s">
        <v>40</v>
      </c>
      <c r="E83" s="3">
        <f t="shared" si="2"/>
        <v>150000000</v>
      </c>
      <c r="F83" s="4"/>
      <c r="G83" s="2"/>
      <c r="H83" s="4"/>
    </row>
    <row r="84" ht="12.75" customHeight="1">
      <c r="A84" s="1" t="s">
        <v>125</v>
      </c>
      <c r="B84" s="1"/>
      <c r="C84" s="2"/>
      <c r="D84" s="3"/>
      <c r="F84" s="4"/>
      <c r="G84" s="2"/>
      <c r="H84" s="4"/>
    </row>
    <row r="85" ht="12.75" customHeight="1">
      <c r="A85" s="1"/>
      <c r="B85" s="1" t="s">
        <v>126</v>
      </c>
      <c r="C85" s="2" t="s">
        <v>127</v>
      </c>
      <c r="D85" s="3">
        <v>125000000</v>
      </c>
      <c r="F85" s="4">
        <v>46309</v>
      </c>
      <c r="G85" s="2" t="s">
        <v>10</v>
      </c>
      <c r="H85" s="4">
        <v>45965</v>
      </c>
    </row>
    <row r="86" ht="12.75" customHeight="1">
      <c r="A86" s="1"/>
      <c r="B86" s="1"/>
      <c r="D86" s="2" t="s">
        <v>40</v>
      </c>
      <c r="E86" s="3">
        <f t="shared" si="1"/>
        <v>125000000</v>
      </c>
      <c r="F86" s="4"/>
      <c r="G86" s="2"/>
      <c r="H86" s="4"/>
    </row>
    <row r="87" ht="12.75" customHeight="1">
      <c r="A87" s="1" t="s">
        <v>128</v>
      </c>
      <c r="B87" s="1"/>
      <c r="C87" s="2"/>
      <c r="D87" s="3"/>
      <c r="F87" s="4"/>
      <c r="G87" s="2"/>
      <c r="H87" s="4"/>
    </row>
    <row r="88" ht="12.75" customHeight="1">
      <c r="A88" s="1"/>
      <c r="B88" s="1" t="s">
        <v>129</v>
      </c>
      <c r="C88" s="2" t="s">
        <v>130</v>
      </c>
      <c r="D88" s="3">
        <v>240119760</v>
      </c>
      <c r="F88" s="4">
        <v>46927</v>
      </c>
      <c r="G88" s="2" t="s">
        <v>10</v>
      </c>
      <c r="H88" s="4">
        <v>46162</v>
      </c>
    </row>
    <row r="89" ht="12.75" customHeight="1">
      <c r="A89" s="1"/>
      <c r="B89" s="1" t="s">
        <v>129</v>
      </c>
      <c r="C89" s="2" t="s">
        <v>131</v>
      </c>
      <c r="D89" s="3">
        <v>59880330</v>
      </c>
      <c r="F89" s="4">
        <v>46927</v>
      </c>
      <c r="G89" s="2" t="s">
        <v>10</v>
      </c>
      <c r="H89" s="4">
        <v>46162</v>
      </c>
    </row>
    <row r="90" ht="12.75" customHeight="1">
      <c r="A90" s="1"/>
      <c r="B90" s="1" t="s">
        <v>132</v>
      </c>
      <c r="C90" s="2" t="s">
        <v>133</v>
      </c>
      <c r="D90" s="3">
        <v>400000000</v>
      </c>
      <c r="F90" s="4">
        <v>46486</v>
      </c>
      <c r="G90" s="2" t="s">
        <v>10</v>
      </c>
      <c r="H90" s="4">
        <v>46143</v>
      </c>
    </row>
    <row r="91" ht="12.75" customHeight="1">
      <c r="A91" s="1"/>
      <c r="B91" s="1" t="s">
        <v>134</v>
      </c>
      <c r="C91" s="2" t="s">
        <v>135</v>
      </c>
      <c r="D91" s="3">
        <v>27376000</v>
      </c>
      <c r="F91" s="4">
        <v>46213</v>
      </c>
      <c r="G91" s="2" t="s">
        <v>10</v>
      </c>
      <c r="H91" s="4">
        <v>45945</v>
      </c>
    </row>
    <row r="92" ht="12.75" customHeight="1">
      <c r="A92" s="1"/>
      <c r="B92" s="1" t="s">
        <v>136</v>
      </c>
      <c r="C92" s="2" t="s">
        <v>137</v>
      </c>
      <c r="D92" s="3">
        <v>135000000</v>
      </c>
      <c r="F92" s="4">
        <v>47242</v>
      </c>
      <c r="G92" s="2" t="s">
        <v>10</v>
      </c>
      <c r="H92" s="4">
        <v>46151</v>
      </c>
    </row>
    <row r="93" ht="12.75" customHeight="1">
      <c r="A93" s="1"/>
      <c r="B93" s="1" t="s">
        <v>138</v>
      </c>
      <c r="C93" s="2" t="s">
        <v>139</v>
      </c>
      <c r="D93" s="3">
        <v>132134434</v>
      </c>
      <c r="F93" s="4">
        <v>46843</v>
      </c>
      <c r="G93" s="2" t="s">
        <v>10</v>
      </c>
      <c r="H93" s="4">
        <v>46112</v>
      </c>
    </row>
    <row r="94" ht="12.75" customHeight="1">
      <c r="A94" s="1"/>
      <c r="B94" s="1" t="s">
        <v>140</v>
      </c>
      <c r="C94" s="2" t="s">
        <v>141</v>
      </c>
      <c r="D94" s="3">
        <v>300000000</v>
      </c>
      <c r="F94" s="4">
        <v>46738</v>
      </c>
      <c r="G94" s="2" t="s">
        <v>10</v>
      </c>
      <c r="H94" s="4">
        <v>46015</v>
      </c>
    </row>
    <row r="95" ht="12.75" customHeight="1">
      <c r="A95" s="1"/>
      <c r="B95" s="1" t="s">
        <v>142</v>
      </c>
      <c r="C95" s="2" t="s">
        <v>143</v>
      </c>
      <c r="D95" s="3">
        <v>150000000</v>
      </c>
      <c r="F95" s="4">
        <v>46542</v>
      </c>
      <c r="G95" s="2" t="s">
        <v>10</v>
      </c>
      <c r="H95" s="4">
        <v>46179</v>
      </c>
    </row>
    <row r="96" ht="12.75" customHeight="1">
      <c r="A96" s="1"/>
      <c r="B96" s="1" t="s">
        <v>144</v>
      </c>
      <c r="C96" s="2" t="s">
        <v>145</v>
      </c>
      <c r="D96" s="3">
        <v>230000000</v>
      </c>
      <c r="F96" s="4">
        <v>46864</v>
      </c>
      <c r="G96" s="2" t="s">
        <v>10</v>
      </c>
      <c r="H96" s="4">
        <v>46142</v>
      </c>
    </row>
    <row r="97" ht="12.75" customHeight="1">
      <c r="A97" s="1"/>
      <c r="B97" s="1" t="s">
        <v>146</v>
      </c>
      <c r="C97" s="2" t="s">
        <v>147</v>
      </c>
      <c r="D97" s="3">
        <v>215000000</v>
      </c>
      <c r="F97" s="4">
        <v>46262</v>
      </c>
      <c r="G97" s="2" t="s">
        <v>10</v>
      </c>
      <c r="H97" s="4">
        <v>46044</v>
      </c>
    </row>
    <row r="98" ht="12.75" customHeight="1">
      <c r="A98" s="1"/>
      <c r="B98" s="1" t="s">
        <v>148</v>
      </c>
      <c r="C98" s="2" t="s">
        <v>149</v>
      </c>
      <c r="D98" s="3">
        <v>245714285</v>
      </c>
      <c r="F98" s="4">
        <v>46752</v>
      </c>
      <c r="G98" s="2" t="s">
        <v>10</v>
      </c>
      <c r="H98" s="4">
        <v>46051</v>
      </c>
    </row>
    <row r="99" ht="12.75" customHeight="1">
      <c r="A99" s="1"/>
      <c r="B99" s="1" t="s">
        <v>150</v>
      </c>
      <c r="C99" s="2" t="s">
        <v>151</v>
      </c>
      <c r="D99" s="3">
        <v>273000000</v>
      </c>
      <c r="F99" s="4">
        <v>46199</v>
      </c>
      <c r="G99" s="2" t="s">
        <v>10</v>
      </c>
      <c r="H99" s="4">
        <v>45839</v>
      </c>
    </row>
    <row r="100" ht="12.75" customHeight="1">
      <c r="A100" s="1"/>
      <c r="B100" s="1" t="s">
        <v>152</v>
      </c>
      <c r="C100" s="2" t="s">
        <v>153</v>
      </c>
      <c r="D100" s="3">
        <v>200000000</v>
      </c>
      <c r="F100" s="4">
        <v>46280</v>
      </c>
      <c r="G100" s="2" t="s">
        <v>10</v>
      </c>
      <c r="H100" s="4">
        <v>46071</v>
      </c>
    </row>
    <row r="101" ht="12.75" customHeight="1">
      <c r="A101" s="1"/>
      <c r="B101" s="1" t="s">
        <v>154</v>
      </c>
      <c r="C101" s="2" t="s">
        <v>155</v>
      </c>
      <c r="D101" s="3">
        <v>175000000</v>
      </c>
      <c r="F101" s="4">
        <v>46430</v>
      </c>
      <c r="G101" s="2" t="s">
        <v>10</v>
      </c>
      <c r="H101" s="4">
        <v>46126</v>
      </c>
    </row>
    <row r="102" ht="12.75" customHeight="1">
      <c r="A102" s="1"/>
      <c r="B102" s="1" t="s">
        <v>142</v>
      </c>
      <c r="C102" s="2" t="s">
        <v>143</v>
      </c>
      <c r="D102" s="3">
        <v>150000000</v>
      </c>
      <c r="F102" s="4">
        <v>46542</v>
      </c>
      <c r="G102" s="2" t="s">
        <v>10</v>
      </c>
      <c r="H102" s="4">
        <v>46178</v>
      </c>
    </row>
    <row r="103" ht="12.75" customHeight="1">
      <c r="A103" s="1"/>
      <c r="B103" s="1" t="s">
        <v>156</v>
      </c>
      <c r="C103" s="2" t="s">
        <v>157</v>
      </c>
      <c r="D103" s="3">
        <v>250000000</v>
      </c>
      <c r="F103" s="4">
        <v>46513</v>
      </c>
      <c r="G103" s="2" t="s">
        <v>10</v>
      </c>
      <c r="H103" s="4">
        <v>46153</v>
      </c>
    </row>
    <row r="104" ht="12.75" customHeight="1">
      <c r="A104" s="1"/>
      <c r="B104" s="1"/>
      <c r="D104" s="2" t="s">
        <v>40</v>
      </c>
      <c r="E104" s="3">
        <f t="shared" si="3"/>
        <v>3183224809</v>
      </c>
      <c r="F104" s="4"/>
      <c r="G104" s="2"/>
      <c r="H104" s="4"/>
    </row>
    <row r="105" ht="12.75" customHeight="1">
      <c r="A105" s="1"/>
      <c r="B105" s="1"/>
      <c r="D105" s="2" t="s">
        <v>158</v>
      </c>
      <c r="E105" s="3">
        <v>10555217539</v>
      </c>
      <c r="F105" s="4"/>
      <c r="G105" s="2"/>
      <c r="H105" s="4"/>
    </row>
  </sheetData>
  <printOptions headings="1"/>
  <pageMargins left="0.79" right="0.79" top="1.05" bottom="1.05" header="0.79" footer="0.79"/>
  <pageSetup paperSize="1" useFirstPageNumber="1" firstPageNumber="1" pageOrder="downThenOver" orientation="portrait"/>
  <headerFooter>
    <oddHeader>&amp;L&amp;C&amp;"Times New Roman,Regular"&amp;12&amp;A&amp;R</oddHeader>
    <oddFooter>&amp;L&amp;C&amp;"Times New Roman,Regular"&amp;12Page &amp;P&amp;R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295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2026-06-11T19:36:41Z</dcterms:created>
  <dc:creator/>
  <dc:description/>
  <dc:language>en-US</dc:language>
  <cp:lastModifiedBy/>
  <dcterms:modified xsi:type="dcterms:W3CDTF">2026-08-19T20:31:31Z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