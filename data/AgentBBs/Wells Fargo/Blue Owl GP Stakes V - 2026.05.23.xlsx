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t BB" sheetId="1" state="visible" r:id="rId2"/>
  </sheets>
  <definedNames>
    <definedName function="false" hidden="true" localSheetId="0" name="_xlnm._FilterDatabase" vbProcedure="false">'Agent BB'!$B$18:$S$50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<sst xmlns="http://schemas.openxmlformats.org/spreadsheetml/2006/main" count="201" uniqueCount="149">
  <si>
    <t xml:space="preserve">Blue Owl GP Stakes V – Subscription Facility Borrowing Base</t>
  </si>
  <si>
    <t xml:space="preserve">Tranche A</t>
  </si>
  <si>
    <t xml:space="preserve">Reclassified</t>
  </si>
  <si>
    <t xml:space="preserve">% Called (Net)</t>
  </si>
  <si>
    <t xml:space="preserve">Borrowing Base</t>
  </si>
  <si>
    <t xml:space="preserve">Transferee</t>
  </si>
  <si>
    <t xml:space="preserve">% Called (Gross)</t>
  </si>
  <si>
    <t xml:space="preserve">Eligible Remaining Commitments</t>
  </si>
  <si>
    <t xml:space="preserve">Total Remaining Commitments</t>
  </si>
  <si>
    <t xml:space="preserve">Total Original Commitments</t>
  </si>
  <si>
    <t xml:space="preserve">Effective Advance Rate</t>
  </si>
  <si>
    <t xml:space="preserve">Tranche B</t>
  </si>
  <si>
    <t xml:space="preserve">Tranche B Excluded LPs</t>
  </si>
  <si>
    <t xml:space="preserve">Total Eligible Remaining Commitments</t>
  </si>
  <si>
    <t xml:space="preserve">Tranche B Advance Rate</t>
  </si>
  <si>
    <t xml:space="preserve">Tranche A Maximum Commitment</t>
  </si>
  <si>
    <t xml:space="preserve">Tranche B Borrowing Base</t>
  </si>
  <si>
    <t xml:space="preserve">Investor</t>
  </si>
  <si>
    <t xml:space="preserve">Parent / Sponsor / Manager</t>
  </si>
  <si>
    <t xml:space="preserve">S&amp;P</t>
  </si>
  <si>
    <t xml:space="preserve">Moody’s</t>
  </si>
  <si>
    <t xml:space="preserve">Net Assets (range)</t>
  </si>
  <si>
    <t xml:space="preserve">Individual Original Commitment</t>
  </si>
  <si>
    <t xml:space="preserve">Original Commitment</t>
  </si>
  <si>
    <t xml:space="preserve">Individual Unfunded Capital Commitment</t>
  </si>
  <si>
    <t xml:space="preserve">Unfunded Capital Commitment</t>
  </si>
  <si>
    <t xml:space="preserve">% Called</t>
  </si>
  <si>
    <t xml:space="preserve">% Total Unfunded Commitment</t>
  </si>
  <si>
    <t xml:space="preserve">% Eligible Unfunded Commitment</t>
  </si>
  <si>
    <t xml:space="preserve">Concentration Limit</t>
  </si>
  <si>
    <t xml:space="preserve">Excess Concentration</t>
  </si>
  <si>
    <t xml:space="preserve">Eligible Commitment</t>
  </si>
  <si>
    <t xml:space="preserve">Advance Rate</t>
  </si>
  <si>
    <t xml:space="preserve">Borrowing Base Contribution</t>
  </si>
  <si>
    <t xml:space="preserve">% of Borrowing Base</t>
  </si>
  <si>
    <t xml:space="preserve">A. Rates Investors</t>
  </si>
  <si>
    <t xml:space="preserve">Mandatum Life Insurance Company Limited</t>
  </si>
  <si>
    <t xml:space="preserve">Mandatum Life Insurance</t>
  </si>
  <si>
    <t xml:space="preserve">A</t>
  </si>
  <si>
    <t xml:space="preserve">NR</t>
  </si>
  <si>
    <t xml:space="preserve">THE PUBLIC INSTITUTION FOR SOCIAL SECURITY</t>
  </si>
  <si>
    <t xml:space="preserve">BBB+</t>
  </si>
  <si>
    <t xml:space="preserve">Bankers Life &amp; Casualty Company</t>
  </si>
  <si>
    <t xml:space="preserve">AA-</t>
  </si>
  <si>
    <t xml:space="preserve">Asahi Mutual Life Insurance Company</t>
  </si>
  <si>
    <t xml:space="preserve">AAA</t>
  </si>
  <si>
    <t xml:space="preserve">Aa1</t>
  </si>
  <si>
    <t xml:space="preserve">Washington National Insurance Company</t>
  </si>
  <si>
    <t xml:space="preserve">Aaa</t>
  </si>
  <si>
    <t xml:space="preserve">Hanwha Life Insurance Co., Ltd</t>
  </si>
  <si>
    <t xml:space="preserve">A-</t>
  </si>
  <si>
    <t xml:space="preserve">Sumitomo Mitsui Trust Bank, Ltd. (non GSAM)</t>
  </si>
  <si>
    <t xml:space="preserve">Samsung Fire &amp; Marine Insurance Co. Ltd</t>
  </si>
  <si>
    <t xml:space="preserve">AA+</t>
  </si>
  <si>
    <t xml:space="preserve">Woori Bank</t>
  </si>
  <si>
    <t xml:space="preserve">AA</t>
  </si>
  <si>
    <t xml:space="preserve">Custody Bank of Japan, Ltd. a/c 46839-5207</t>
  </si>
  <si>
    <t xml:space="preserve">Korea Investment Corporation</t>
  </si>
  <si>
    <t xml:space="preserve">Universities Superannuation Scheme</t>
  </si>
  <si>
    <t xml:space="preserve">A+</t>
  </si>
  <si>
    <t xml:space="preserve">A1</t>
  </si>
  <si>
    <t xml:space="preserve">Prudential Financial, Inc.</t>
  </si>
  <si>
    <t xml:space="preserve">Kuwait Investment Authority</t>
  </si>
  <si>
    <t xml:space="preserve">Aa2</t>
  </si>
  <si>
    <t xml:space="preserve">British Columbia Investment Management</t>
  </si>
  <si>
    <t xml:space="preserve">Pension Fund Association of Japan</t>
  </si>
  <si>
    <t xml:space="preserve">Kuwait Investment Authority a/c 93661-3205</t>
  </si>
  <si>
    <t xml:space="preserve">Oregon Public Employees Retirement Fund</t>
  </si>
  <si>
    <t xml:space="preserve">A2</t>
  </si>
  <si>
    <t xml:space="preserve">MetLife Insurance K.K.</t>
  </si>
  <si>
    <t xml:space="preserve">Abu Dhabi Investment Authority</t>
  </si>
  <si>
    <t xml:space="preserve">Mubadala Investment Company a/c 28155-1664</t>
  </si>
  <si>
    <t xml:space="preserve">Tokio Marine &amp; Nichido Fire Insurance</t>
  </si>
  <si>
    <t xml:space="preserve">The Bank of Korea</t>
  </si>
  <si>
    <t xml:space="preserve">CTBC Bank Co., Ltd.</t>
  </si>
  <si>
    <t xml:space="preserve">Baa2</t>
  </si>
  <si>
    <t xml:space="preserve">Public Investment Fund</t>
  </si>
  <si>
    <t xml:space="preserve">New York State Common Retirement Fund a/c 54743-0535</t>
  </si>
  <si>
    <t xml:space="preserve">Government Pension Fund of Thailand</t>
  </si>
  <si>
    <t xml:space="preserve">The Penn Insurance and Annuity Company</t>
  </si>
  <si>
    <t xml:space="preserve">Aa3</t>
  </si>
  <si>
    <t xml:space="preserve">Subtotal – Rated Investors</t>
  </si>
  <si>
    <t xml:space="preserve">B. Unrated Investors</t>
  </si>
  <si>
    <t xml:space="preserve">CAZ GP Ownership Fund, L.P.</t>
  </si>
  <si>
    <t xml:space="preserve">CAZ Investments</t>
  </si>
  <si>
    <t xml:space="preserve">&gt;=$20Bn</t>
  </si>
  <si>
    <t xml:space="preserve">Lititz Investment Pte Ltd</t>
  </si>
  <si>
    <t xml:space="preserve">Best Investment Corporation</t>
  </si>
  <si>
    <t xml:space="preserve">National Pension Service of the Republic of Korea</t>
  </si>
  <si>
    <t xml:space="preserve">Stichting Pensioenfonds ABP</t>
  </si>
  <si>
    <t xml:space="preserve">10-20 $Bn</t>
  </si>
  <si>
    <t xml:space="preserve">Manulife Financial Corporation</t>
  </si>
  <si>
    <t xml:space="preserve">Meiji Yasuda Life Insurance Company</t>
  </si>
  <si>
    <t xml:space="preserve">1-5 $Bn</t>
  </si>
  <si>
    <t xml:space="preserve">Aviva Investors</t>
  </si>
  <si>
    <t xml:space="preserve">Fubon Life Insurance Co., Ltd.</t>
  </si>
  <si>
    <t xml:space="preserve">New Jersey Division of Investment</t>
  </si>
  <si>
    <t xml:space="preserve">Allianz Global Investors</t>
  </si>
  <si>
    <t xml:space="preserve">Jewish Community Foundation of Montreal</t>
  </si>
  <si>
    <t xml:space="preserve">Subtotal – Unrated Investors</t>
  </si>
  <si>
    <t xml:space="preserve">C. Eligible Investors</t>
  </si>
  <si>
    <t xml:space="preserve">CITCO BANK CANADA REF DGP V OWNERSHIP Offshore Feeder Fund, LTD</t>
  </si>
  <si>
    <t xml:space="preserve">Citi HNW Feeder</t>
  </si>
  <si>
    <t xml:space="preserve">CITCO BANK CANADA REF DGP V OWNERSHIP ONSHORE FEEDER FUND, L.P.</t>
  </si>
  <si>
    <t xml:space="preserve">Clearwater Special Situations Fund 2024, VCC</t>
  </si>
  <si>
    <t xml:space="preserve">CAZ Private Equity Ownership D5 Fund, L.P.</t>
  </si>
  <si>
    <t xml:space="preserve">AIA VCC for a/c Crestline Fund - Credit 2019</t>
  </si>
  <si>
    <t xml:space="preserve">Bellwether Private Debt Fund 2021, VCC</t>
  </si>
  <si>
    <t xml:space="preserve">Whitman Direct Lending Fund 2021, Offshore, L.P.</t>
  </si>
  <si>
    <t xml:space="preserve">Lombard International Life Assurance Company</t>
  </si>
  <si>
    <t xml:space="preserve">Meridian Private Credit Fund 2020, VCC</t>
  </si>
  <si>
    <t xml:space="preserve">Summit Opportunistic Credit Fund 2021, Offshore, L.P.</t>
  </si>
  <si>
    <t xml:space="preserve">Client of Prime Quadrant</t>
  </si>
  <si>
    <t xml:space="preserve">Meridian Opportunistic Credit Fund 2024, L.P.</t>
  </si>
  <si>
    <t xml:space="preserve">Client of BDO Wealth Advisors LLC</t>
  </si>
  <si>
    <t xml:space="preserve">AIA VCC for a/c Whitman Fund - Credit 2024</t>
  </si>
  <si>
    <t xml:space="preserve">Coppermine Special Situations Fund 2021, L.P.</t>
  </si>
  <si>
    <t xml:space="preserve">Client of Johnson Financial Group LLC</t>
  </si>
  <si>
    <t xml:space="preserve">Summit Private Credit Fund 2024, VCC</t>
  </si>
  <si>
    <t xml:space="preserve">The Gary &amp; Pennie Abramson Charitable Foundation</t>
  </si>
  <si>
    <t xml:space="preserve">Subtotal – Eligible Investors</t>
  </si>
  <si>
    <t xml:space="preserve">Subtotal – Tranche A Borrowing Base Commitments (A+B+C)</t>
  </si>
  <si>
    <t xml:space="preserve">Excluded Investors</t>
  </si>
  <si>
    <t xml:space="preserve">Dyal V SLP LP</t>
  </si>
  <si>
    <t xml:space="preserve">Eternity Four Trust</t>
  </si>
  <si>
    <t xml:space="preserve">Arison Investments</t>
  </si>
  <si>
    <t xml:space="preserve">Perfect One Ventures Limited</t>
  </si>
  <si>
    <t xml:space="preserve">Tenk Investments Limited</t>
  </si>
  <si>
    <t xml:space="preserve">Junson Capital</t>
  </si>
  <si>
    <t xml:space="preserve">Clifton Capital LP</t>
  </si>
  <si>
    <t xml:space="preserve">SPGC 2022 Investments LLC</t>
  </si>
  <si>
    <t xml:space="preserve">DOW EMPLOYEE’S PENSION PLAN TRUST (“DEPP”)</t>
  </si>
  <si>
    <t xml:space="preserve">State Oil Fund of the Republic of Azerbaijan</t>
  </si>
  <si>
    <t xml:space="preserve">ARH Holdings, LLC</t>
  </si>
  <si>
    <t xml:space="preserve">Xin Huang</t>
  </si>
  <si>
    <t xml:space="preserve">AXA Fund Platform Private Equity S.C.A., SICAV-RAIF – Vintage 2025</t>
  </si>
  <si>
    <t xml:space="preserve">AXA Investment Managers</t>
  </si>
  <si>
    <t xml:space="preserve">Terrapin Point Metro LLC</t>
  </si>
  <si>
    <t xml:space="preserve">GAB Access Fund LP</t>
  </si>
  <si>
    <t xml:space="preserve">PASM 2024 Fund</t>
  </si>
  <si>
    <t xml:space="preserve">Arnulf Neumann-Damerau</t>
  </si>
  <si>
    <t xml:space="preserve">Emerald Ridge Investments LTD</t>
  </si>
  <si>
    <t xml:space="preserve">Flying Fish Ventures Limited Partnership</t>
  </si>
  <si>
    <t xml:space="preserve">George Walker, III</t>
  </si>
  <si>
    <t xml:space="preserve">Fukurou LLC – Series 24</t>
  </si>
  <si>
    <t xml:space="preserve">Lark Fund LP</t>
  </si>
  <si>
    <t xml:space="preserve">Sage Innovations Limited</t>
  </si>
  <si>
    <t xml:space="preserve">Subtotal – Excluded Investors</t>
  </si>
  <si>
    <t xml:space="preserve">Total Commitments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</si>
</sst>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$-409]#,##0;\-[$$-409]#,##0"/>
    <numFmt numFmtId="166" formatCode="0.0%"/>
    <numFmt numFmtId="167" formatCode="0.00%"/>
    <numFmt numFmtId="168" formatCode="0%"/>
    <numFmt numFmtId="169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Verdana"/>
      <family val="2"/>
      <charset val="1"/>
    </font>
    <font>
      <b val="true"/>
      <sz val="10"/>
      <color rgb="FFFFFFFF"/>
      <name val="Verdana"/>
      <family val="2"/>
      <charset val="1"/>
    </font>
    <font>
      <b val="true"/>
      <sz val="10"/>
      <color rgb="FF000000"/>
      <name val="Verdana"/>
      <family val="2"/>
      <charset val="1"/>
    </font>
    <font>
      <b val="true"/>
      <sz val="10"/>
      <name val="Verdana"/>
      <family val="2"/>
      <charset val="1"/>
    </font>
    <font>
      <b val="true"/>
      <sz val="10"/>
      <color rgb="FF0810F6"/>
      <name val="Verdana"/>
      <family val="2"/>
      <charset val="1"/>
    </font>
    <font>
      <sz val="10"/>
      <color rgb="FF0810F6"/>
      <name val="Verdana"/>
      <family val="2"/>
      <charset val="1"/>
    </font>
    <font>
      <sz val="10"/>
      <color rgb="FF706E0C"/>
      <name val="Verdana"/>
      <family val="2"/>
      <charset val="1"/>
    </font>
    <font>
      <b val="true"/>
      <sz val="10"/>
      <color rgb="FF050DFC"/>
      <name val="Verdana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355269"/>
        <bgColor rgb="FF2A6099"/>
      </patternFill>
    </fill>
    <fill>
      <patternFill patternType="solid">
        <fgColor rgb="FF2A6099"/>
        <bgColor rgb="FF355269"/>
      </patternFill>
    </fill>
    <fill>
      <patternFill patternType="solid">
        <fgColor rgb="FFFFD7D7"/>
        <bgColor rgb="FFDDDDDD"/>
      </patternFill>
    </fill>
    <fill>
      <patternFill patternType="solid">
        <fgColor rgb="FFFFF5CE"/>
        <bgColor rgb="FFFFFFFF"/>
      </patternFill>
    </fill>
    <fill>
      <patternFill patternType="solid">
        <fgColor rgb="FF0BB0F7"/>
        <bgColor rgb="FF33CCCC"/>
      </patternFill>
    </fill>
    <fill>
      <patternFill patternType="solid">
        <fgColor rgb="FFFFFFFF"/>
        <bgColor rgb="FFFFF5CE"/>
      </patternFill>
    </fill>
    <fill>
      <patternFill patternType="solid">
        <fgColor rgb="FFDDDDDD"/>
        <bgColor rgb="FFFFD7D7"/>
      </patternFill>
    </fill>
    <fill>
      <patternFill patternType="solid">
        <fgColor rgb="FF808080"/>
        <bgColor rgb="FF969696"/>
      </patternFill>
    </fill>
    <fill>
      <patternFill patternType="solid">
        <fgColor rgb="FF666666"/>
        <bgColor rgb="FF8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8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8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9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1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1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" fillId="1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1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5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355269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810F6"/>
        </patternFill>
      </fill>
    </dxf>
    <dxf>
      <fill>
        <patternFill patternType="solid">
          <fgColor rgb="FF050DFC"/>
        </patternFill>
      </fill>
    </dxf>
    <dxf>
      <fill>
        <patternFill patternType="solid">
          <fgColor rgb="FF706E0C"/>
        </patternFill>
      </fill>
    </dxf>
  </dxfs>
  <colors>
    <indexedColors>
      <rgbColor rgb="FF000000"/>
      <rgbColor rgb="FFFFFFFF"/>
      <rgbColor rgb="FFFF0000"/>
      <rgbColor rgb="FF00FF00"/>
      <rgbColor rgb="FF050DFC"/>
      <rgbColor rgb="FFFFFF00"/>
      <rgbColor rgb="FFFF00FF"/>
      <rgbColor rgb="FF00FFFF"/>
      <rgbColor rgb="FF800000"/>
      <rgbColor rgb="FF008000"/>
      <rgbColor rgb="FF000080"/>
      <rgbColor rgb="FF706E0C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2A60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810F6"/>
      <rgbColor rgb="FF0BB0F7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552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3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1" topLeftCell="A13" activePane="bottomLeft" state="frozen"/>
      <selection pane="topLeft" activeCell="G1" activeCellId="0" sqref="G1"/>
      <selection pane="bottomLeft" activeCell="R18" activeCellId="0" sqref="R18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6.68"/>
    <col collapsed="false" customWidth="true" hidden="false" outlineLevel="0" max="2" min="2" style="1" width="58.41"/>
    <col collapsed="false" customWidth="true" hidden="false" outlineLevel="0" max="3" min="3" style="1" width="34.63"/>
    <col collapsed="false" customWidth="true" hidden="false" outlineLevel="0" max="4" min="4" style="1" width="14.46"/>
    <col collapsed="false" customWidth="true" hidden="false" outlineLevel="0" max="5" min="5" style="1" width="16.83"/>
    <col collapsed="false" customWidth="true" hidden="false" outlineLevel="0" max="6" min="6" style="2" width="16.55"/>
    <col collapsed="false" customWidth="true" hidden="false" outlineLevel="0" max="8" min="7" style="2" width="21.69"/>
    <col collapsed="false" customWidth="true" hidden="false" outlineLevel="0" max="10" min="9" style="3" width="23.92"/>
    <col collapsed="false" customWidth="true" hidden="false" outlineLevel="0" max="11" min="11" style="3" width="18.49"/>
    <col collapsed="false" customWidth="true" hidden="false" outlineLevel="0" max="13" min="12" style="1" width="18.49"/>
    <col collapsed="false" customWidth="true" hidden="false" outlineLevel="0" max="14" min="14" style="4" width="17.38"/>
    <col collapsed="false" customWidth="true" hidden="false" outlineLevel="0" max="15" min="15" style="2" width="18.22"/>
    <col collapsed="false" customWidth="true" hidden="false" outlineLevel="0" max="16" min="16" style="3" width="20.16"/>
    <col collapsed="false" customWidth="true" hidden="false" outlineLevel="0" max="17" min="17" style="2" width="17.86"/>
    <col collapsed="false" customWidth="true" hidden="false" outlineLevel="0" max="18" min="18" style="3" width="22.11"/>
    <col collapsed="false" customWidth="true" hidden="false" outlineLevel="0" max="19" min="19" style="1" width="12.93"/>
    <col collapsed="false" customWidth="false" hidden="false" outlineLevel="0" max="84" min="20" style="1" width="8.68"/>
    <col collapsed="false" customWidth="false" hidden="false" outlineLevel="0" max="16383" min="85" style="5" width="8.68"/>
    <col collapsed="false" customWidth="true" hidden="false" outlineLevel="0" max="16384" min="16384" style="1" width="11.53"/>
  </cols>
  <sheetData>
    <row r="1" s="10" customFormat="true" ht="12.8" hidden="false" customHeight="true" outlineLevel="0" collapsed="false">
      <c r="A1" s="1"/>
      <c r="B1" s="6"/>
      <c r="C1" s="6"/>
      <c r="D1" s="6"/>
      <c r="E1" s="6"/>
      <c r="F1" s="7"/>
      <c r="G1" s="7"/>
      <c r="H1" s="7"/>
      <c r="I1" s="8"/>
      <c r="J1" s="8"/>
      <c r="K1" s="8"/>
      <c r="L1" s="6"/>
      <c r="M1" s="6"/>
      <c r="N1" s="9"/>
      <c r="O1" s="7"/>
      <c r="P1" s="8"/>
      <c r="Q1" s="7"/>
      <c r="R1" s="8"/>
      <c r="S1" s="1"/>
      <c r="T1" s="1"/>
      <c r="U1" s="1"/>
      <c r="V1" s="1"/>
      <c r="W1" s="1"/>
      <c r="X1" s="1"/>
      <c r="Y1" s="1"/>
      <c r="Z1" s="1"/>
    </row>
    <row r="2" s="10" customFormat="true" ht="20.85" hidden="false" customHeight="true" outlineLevel="0" collapsed="false">
      <c r="A2" s="1"/>
      <c r="B2" s="11" t="s">
        <v>0</v>
      </c>
      <c r="C2" s="11"/>
      <c r="D2" s="11"/>
      <c r="E2" s="11"/>
      <c r="F2" s="12"/>
      <c r="G2" s="12"/>
      <c r="H2" s="12"/>
      <c r="I2" s="13"/>
      <c r="J2" s="13"/>
      <c r="K2" s="13"/>
      <c r="L2" s="11"/>
      <c r="M2" s="11"/>
      <c r="N2" s="14"/>
      <c r="O2" s="12"/>
      <c r="P2" s="13"/>
      <c r="Q2" s="12"/>
      <c r="R2" s="13"/>
      <c r="S2" s="1"/>
      <c r="T2" s="1"/>
      <c r="U2" s="1"/>
      <c r="V2" s="1"/>
      <c r="W2" s="1"/>
      <c r="X2" s="1"/>
      <c r="Y2" s="1"/>
      <c r="Z2" s="1"/>
    </row>
    <row r="3" s="10" customFormat="true" ht="12.8" hidden="false" customHeight="true" outlineLevel="0" collapsed="false">
      <c r="A3" s="1"/>
      <c r="B3" s="6"/>
      <c r="C3" s="6"/>
      <c r="D3" s="6"/>
      <c r="E3" s="15"/>
      <c r="F3" s="7"/>
      <c r="G3" s="7"/>
      <c r="H3" s="7"/>
      <c r="I3" s="8"/>
      <c r="J3" s="8"/>
      <c r="K3" s="8"/>
      <c r="L3" s="6"/>
      <c r="M3" s="6"/>
      <c r="N3" s="9"/>
      <c r="O3" s="7"/>
      <c r="P3" s="8"/>
      <c r="Q3" s="7"/>
      <c r="R3" s="8"/>
      <c r="S3" s="1"/>
      <c r="T3" s="1"/>
      <c r="U3" s="1"/>
      <c r="V3" s="1"/>
      <c r="W3" s="1"/>
      <c r="X3" s="1"/>
      <c r="Y3" s="1"/>
      <c r="Z3" s="1"/>
    </row>
    <row r="4" s="10" customFormat="true" ht="12.8" hidden="false" customHeight="true" outlineLevel="0" collapsed="false">
      <c r="A4" s="1"/>
      <c r="B4" s="16" t="s">
        <v>1</v>
      </c>
      <c r="C4" s="16"/>
      <c r="D4" s="17"/>
      <c r="E4" s="18" t="s">
        <v>2</v>
      </c>
      <c r="F4" s="19" t="s">
        <v>3</v>
      </c>
      <c r="G4" s="20" t="n">
        <v>0.407</v>
      </c>
      <c r="H4" s="21"/>
      <c r="I4" s="22"/>
      <c r="J4" s="22"/>
      <c r="K4" s="22"/>
      <c r="L4" s="23"/>
      <c r="M4" s="23"/>
      <c r="N4" s="24"/>
      <c r="O4" s="25"/>
      <c r="P4" s="22"/>
      <c r="Q4" s="25"/>
      <c r="R4" s="22"/>
      <c r="S4" s="1"/>
      <c r="T4" s="1"/>
      <c r="U4" s="1"/>
      <c r="V4" s="1"/>
      <c r="W4" s="1"/>
      <c r="X4" s="1"/>
      <c r="Y4" s="1"/>
      <c r="Z4" s="1"/>
    </row>
    <row r="5" s="10" customFormat="true" ht="12.8" hidden="false" customHeight="true" outlineLevel="0" collapsed="false">
      <c r="A5" s="1"/>
      <c r="B5" s="26" t="s">
        <v>4</v>
      </c>
      <c r="C5" s="27" t="n">
        <f aca="false">R86</f>
        <v>10728067501</v>
      </c>
      <c r="D5" s="17"/>
      <c r="E5" s="28" t="s">
        <v>5</v>
      </c>
      <c r="F5" s="19" t="s">
        <v>6</v>
      </c>
      <c r="G5" s="29" t="n">
        <v>0.58</v>
      </c>
      <c r="H5" s="30"/>
      <c r="I5" s="22"/>
      <c r="J5" s="22"/>
      <c r="K5" s="22"/>
      <c r="L5" s="23"/>
      <c r="M5" s="23"/>
      <c r="N5" s="24"/>
      <c r="O5" s="25"/>
      <c r="P5" s="22"/>
      <c r="Q5" s="25"/>
      <c r="R5" s="22"/>
      <c r="S5" s="1"/>
      <c r="T5" s="1"/>
      <c r="U5" s="1"/>
      <c r="V5" s="1"/>
      <c r="W5" s="1"/>
      <c r="X5" s="1"/>
      <c r="Y5" s="1"/>
      <c r="Z5" s="1"/>
    </row>
    <row r="6" s="10" customFormat="true" ht="12.8" hidden="false" customHeight="true" outlineLevel="0" collapsed="false">
      <c r="A6" s="1"/>
      <c r="B6" s="26" t="s">
        <v>7</v>
      </c>
      <c r="C6" s="27" t="n">
        <f aca="false">J86</f>
        <v>12372297594</v>
      </c>
      <c r="D6" s="17"/>
      <c r="E6" s="5"/>
      <c r="F6" s="25"/>
      <c r="G6" s="25"/>
      <c r="H6" s="25"/>
      <c r="I6" s="22"/>
      <c r="J6" s="22"/>
      <c r="K6" s="22"/>
      <c r="L6" s="23"/>
      <c r="M6" s="23"/>
      <c r="N6" s="24"/>
      <c r="O6" s="25"/>
      <c r="P6" s="22"/>
      <c r="Q6" s="25"/>
      <c r="R6" s="22"/>
      <c r="S6" s="1"/>
      <c r="T6" s="1"/>
      <c r="U6" s="1"/>
      <c r="V6" s="1"/>
      <c r="W6" s="1"/>
      <c r="X6" s="1"/>
      <c r="Y6" s="1"/>
      <c r="Z6" s="1"/>
    </row>
    <row r="7" s="10" customFormat="true" ht="12.8" hidden="false" customHeight="true" outlineLevel="0" collapsed="false">
      <c r="A7" s="1"/>
      <c r="B7" s="26" t="s">
        <v>8</v>
      </c>
      <c r="C7" s="27" t="n">
        <f aca="false">J112</f>
        <v>12443562299</v>
      </c>
      <c r="D7" s="17"/>
      <c r="E7" s="31"/>
      <c r="F7" s="25"/>
      <c r="G7" s="25"/>
      <c r="H7" s="25"/>
      <c r="I7" s="22"/>
      <c r="J7" s="22"/>
      <c r="K7" s="22"/>
      <c r="L7" s="23"/>
      <c r="M7" s="23"/>
      <c r="N7" s="24"/>
      <c r="O7" s="25"/>
      <c r="P7" s="22"/>
      <c r="Q7" s="25"/>
      <c r="R7" s="22"/>
      <c r="S7" s="1"/>
      <c r="T7" s="1"/>
      <c r="U7" s="1"/>
      <c r="V7" s="1"/>
      <c r="W7" s="1"/>
      <c r="X7" s="1"/>
      <c r="Y7" s="1"/>
      <c r="Z7" s="1"/>
    </row>
    <row r="8" s="10" customFormat="true" ht="12.8" hidden="false" customHeight="true" outlineLevel="0" collapsed="false">
      <c r="A8" s="1"/>
      <c r="B8" s="26" t="s">
        <v>9</v>
      </c>
      <c r="C8" s="27" t="n">
        <f aca="false">G112</f>
        <v>24785036625</v>
      </c>
      <c r="D8" s="17"/>
      <c r="E8" s="17"/>
      <c r="F8" s="25"/>
      <c r="G8" s="25"/>
      <c r="H8" s="25"/>
      <c r="I8" s="22"/>
      <c r="J8" s="22"/>
      <c r="K8" s="22"/>
      <c r="L8" s="23"/>
      <c r="M8" s="23"/>
      <c r="N8" s="24"/>
      <c r="O8" s="25"/>
      <c r="P8" s="22"/>
      <c r="Q8" s="25"/>
      <c r="R8" s="22"/>
      <c r="S8" s="1"/>
      <c r="T8" s="1"/>
      <c r="U8" s="1"/>
      <c r="V8" s="1"/>
      <c r="W8" s="1"/>
      <c r="X8" s="1"/>
      <c r="Y8" s="1"/>
      <c r="Z8" s="1"/>
    </row>
    <row r="9" s="10" customFormat="true" ht="12.8" hidden="false" customHeight="true" outlineLevel="0" collapsed="false">
      <c r="A9" s="1"/>
      <c r="B9" s="26" t="s">
        <v>10</v>
      </c>
      <c r="C9" s="32" t="n">
        <f aca="false">C5/C7</f>
        <v>0.862137966863568</v>
      </c>
      <c r="D9" s="17"/>
      <c r="E9" s="17"/>
      <c r="F9" s="25"/>
      <c r="G9" s="25"/>
      <c r="H9" s="25"/>
      <c r="I9" s="22"/>
      <c r="J9" s="22"/>
      <c r="K9" s="22"/>
      <c r="L9" s="23"/>
      <c r="M9" s="23"/>
      <c r="N9" s="24"/>
      <c r="O9" s="25"/>
      <c r="P9" s="22"/>
      <c r="Q9" s="25"/>
      <c r="R9" s="22"/>
      <c r="S9" s="1"/>
      <c r="T9" s="1"/>
      <c r="U9" s="1"/>
      <c r="V9" s="1"/>
      <c r="W9" s="1"/>
      <c r="X9" s="1"/>
      <c r="Y9" s="1"/>
      <c r="Z9" s="1"/>
    </row>
    <row r="10" s="10" customFormat="true" ht="12.8" hidden="false" customHeight="true" outlineLevel="0" collapsed="false">
      <c r="A10" s="1"/>
      <c r="B10" s="33"/>
      <c r="C10" s="34"/>
      <c r="D10" s="17"/>
      <c r="E10" s="17"/>
      <c r="F10" s="25"/>
      <c r="G10" s="25"/>
      <c r="H10" s="25"/>
      <c r="I10" s="22"/>
      <c r="J10" s="22"/>
      <c r="K10" s="22"/>
      <c r="L10" s="23"/>
      <c r="M10" s="23"/>
      <c r="N10" s="24"/>
      <c r="O10" s="25"/>
      <c r="P10" s="22"/>
      <c r="Q10" s="25"/>
      <c r="R10" s="22"/>
      <c r="S10" s="1"/>
      <c r="T10" s="1"/>
      <c r="U10" s="1"/>
      <c r="V10" s="1"/>
      <c r="W10" s="1"/>
      <c r="X10" s="1"/>
      <c r="Y10" s="1"/>
      <c r="Z10" s="1"/>
    </row>
    <row r="11" s="10" customFormat="true" ht="12.8" hidden="false" customHeight="true" outlineLevel="0" collapsed="false">
      <c r="A11" s="1"/>
      <c r="B11" s="16" t="s">
        <v>11</v>
      </c>
      <c r="C11" s="16"/>
      <c r="D11" s="17"/>
      <c r="E11" s="17"/>
      <c r="F11" s="25"/>
      <c r="G11" s="25"/>
      <c r="H11" s="25"/>
      <c r="I11" s="22"/>
      <c r="J11" s="22"/>
      <c r="K11" s="22"/>
      <c r="L11" s="23"/>
      <c r="M11" s="23"/>
      <c r="N11" s="24"/>
      <c r="O11" s="25"/>
      <c r="P11" s="22"/>
      <c r="Q11" s="25"/>
      <c r="R11" s="22"/>
      <c r="S11" s="1"/>
      <c r="T11" s="1"/>
      <c r="U11" s="1"/>
      <c r="V11" s="1"/>
      <c r="W11" s="1"/>
      <c r="X11" s="1"/>
      <c r="Y11" s="1"/>
      <c r="Z11" s="1"/>
    </row>
    <row r="12" s="10" customFormat="true" ht="12.8" hidden="false" customHeight="true" outlineLevel="0" collapsed="false">
      <c r="A12" s="1"/>
      <c r="B12" s="35" t="s">
        <v>12</v>
      </c>
      <c r="C12" s="36" t="n">
        <v>218098602</v>
      </c>
      <c r="D12" s="17"/>
      <c r="E12" s="17"/>
      <c r="F12" s="25"/>
      <c r="G12" s="25"/>
      <c r="H12" s="25"/>
      <c r="I12" s="22"/>
      <c r="J12" s="22"/>
      <c r="K12" s="22"/>
      <c r="L12" s="23"/>
      <c r="M12" s="23"/>
      <c r="N12" s="24"/>
      <c r="O12" s="25"/>
      <c r="P12" s="22"/>
      <c r="Q12" s="25"/>
      <c r="R12" s="22"/>
      <c r="S12" s="1"/>
      <c r="T12" s="1"/>
      <c r="U12" s="1"/>
      <c r="V12" s="1"/>
      <c r="W12" s="1"/>
      <c r="X12" s="1"/>
      <c r="Y12" s="1"/>
      <c r="Z12" s="1"/>
    </row>
    <row r="13" s="10" customFormat="true" ht="12.8" hidden="false" customHeight="true" outlineLevel="0" collapsed="false">
      <c r="A13" s="1"/>
      <c r="B13" s="35" t="s">
        <v>13</v>
      </c>
      <c r="C13" s="36" t="n">
        <v>7407540303</v>
      </c>
      <c r="D13" s="17"/>
      <c r="E13" s="17"/>
      <c r="F13" s="25"/>
      <c r="G13" s="25"/>
      <c r="H13" s="25"/>
      <c r="I13" s="22"/>
      <c r="J13" s="22"/>
      <c r="K13" s="22"/>
      <c r="L13" s="23"/>
      <c r="M13" s="23"/>
      <c r="N13" s="24"/>
      <c r="O13" s="25"/>
      <c r="P13" s="22"/>
      <c r="Q13" s="25"/>
      <c r="R13" s="22"/>
      <c r="S13" s="1"/>
      <c r="T13" s="1"/>
      <c r="U13" s="1"/>
      <c r="V13" s="1"/>
      <c r="W13" s="1"/>
      <c r="X13" s="1"/>
      <c r="Y13" s="1"/>
      <c r="Z13" s="1"/>
    </row>
    <row r="14" s="10" customFormat="true" ht="12.8" hidden="false" customHeight="true" outlineLevel="0" collapsed="false">
      <c r="A14" s="1"/>
      <c r="B14" s="35" t="s">
        <v>14</v>
      </c>
      <c r="C14" s="37" t="n">
        <v>0.825</v>
      </c>
      <c r="D14" s="17"/>
      <c r="E14" s="17"/>
      <c r="F14" s="25"/>
      <c r="G14" s="25"/>
      <c r="H14" s="25"/>
      <c r="I14" s="22"/>
      <c r="J14" s="22"/>
      <c r="K14" s="22"/>
      <c r="L14" s="23"/>
      <c r="M14" s="23"/>
      <c r="N14" s="24"/>
      <c r="O14" s="25"/>
      <c r="P14" s="22"/>
      <c r="Q14" s="25"/>
      <c r="R14" s="22"/>
      <c r="S14" s="1"/>
      <c r="T14" s="1"/>
      <c r="U14" s="1"/>
      <c r="V14" s="1"/>
      <c r="W14" s="1"/>
      <c r="X14" s="1"/>
      <c r="Y14" s="1"/>
      <c r="Z14" s="1"/>
    </row>
    <row r="15" s="10" customFormat="true" ht="12.8" hidden="false" customHeight="true" outlineLevel="0" collapsed="false">
      <c r="A15" s="1"/>
      <c r="B15" s="35" t="s">
        <v>15</v>
      </c>
      <c r="C15" s="36" t="n">
        <v>5010000000</v>
      </c>
      <c r="D15" s="17"/>
      <c r="E15" s="17"/>
      <c r="F15" s="25"/>
      <c r="G15" s="25"/>
      <c r="H15" s="25"/>
      <c r="I15" s="22"/>
      <c r="J15" s="22"/>
      <c r="K15" s="22"/>
      <c r="L15" s="23"/>
      <c r="M15" s="23"/>
      <c r="N15" s="24"/>
      <c r="O15" s="25"/>
      <c r="P15" s="22"/>
      <c r="Q15" s="25"/>
      <c r="R15" s="22"/>
      <c r="S15" s="1"/>
      <c r="T15" s="1"/>
      <c r="U15" s="1"/>
      <c r="V15" s="1"/>
      <c r="W15" s="1"/>
      <c r="X15" s="1"/>
      <c r="Y15" s="1"/>
      <c r="Z15" s="1"/>
    </row>
    <row r="16" s="10" customFormat="true" ht="12.8" hidden="false" customHeight="true" outlineLevel="0" collapsed="false">
      <c r="A16" s="1"/>
      <c r="B16" s="35" t="s">
        <v>16</v>
      </c>
      <c r="C16" s="38" t="n">
        <v>1101220750</v>
      </c>
      <c r="D16" s="23"/>
      <c r="E16" s="23"/>
      <c r="F16" s="25"/>
      <c r="G16" s="25"/>
      <c r="H16" s="25"/>
      <c r="I16" s="22"/>
      <c r="J16" s="22"/>
      <c r="K16" s="22"/>
      <c r="L16" s="23"/>
      <c r="M16" s="23"/>
      <c r="N16" s="24"/>
      <c r="O16" s="25"/>
      <c r="P16" s="22"/>
      <c r="Q16" s="25"/>
      <c r="R16" s="22"/>
      <c r="S16" s="1"/>
      <c r="T16" s="1"/>
      <c r="U16" s="1"/>
      <c r="V16" s="1"/>
      <c r="W16" s="1"/>
      <c r="X16" s="1"/>
      <c r="Y16" s="1"/>
      <c r="Z16" s="1"/>
    </row>
    <row r="17" s="10" customFormat="true" ht="12.8" hidden="false" customHeight="true" outlineLevel="0" collapsed="false">
      <c r="A17" s="1"/>
      <c r="B17" s="39"/>
      <c r="C17" s="39"/>
      <c r="D17" s="23"/>
      <c r="E17" s="23"/>
      <c r="F17" s="25"/>
      <c r="G17" s="25"/>
      <c r="H17" s="25"/>
      <c r="I17" s="22"/>
      <c r="J17" s="22"/>
      <c r="K17" s="22"/>
      <c r="L17" s="23"/>
      <c r="M17" s="23"/>
      <c r="N17" s="24"/>
      <c r="O17" s="25"/>
      <c r="P17" s="22"/>
      <c r="Q17" s="25"/>
      <c r="R17" s="22"/>
      <c r="S17" s="1"/>
      <c r="T17" s="1"/>
      <c r="U17" s="1"/>
      <c r="V17" s="1"/>
      <c r="W17" s="1"/>
      <c r="X17" s="1"/>
      <c r="Y17" s="1"/>
      <c r="Z17" s="1"/>
    </row>
    <row r="18" s="45" customFormat="true" ht="47" hidden="false" customHeight="true" outlineLevel="0" collapsed="false">
      <c r="A18" s="1"/>
      <c r="B18" s="40" t="s">
        <v>17</v>
      </c>
      <c r="C18" s="40" t="s">
        <v>18</v>
      </c>
      <c r="D18" s="41" t="s">
        <v>19</v>
      </c>
      <c r="E18" s="41" t="s">
        <v>20</v>
      </c>
      <c r="F18" s="41" t="s">
        <v>21</v>
      </c>
      <c r="G18" s="42" t="s">
        <v>22</v>
      </c>
      <c r="H18" s="42" t="s">
        <v>23</v>
      </c>
      <c r="I18" s="42" t="s">
        <v>24</v>
      </c>
      <c r="J18" s="42" t="s">
        <v>25</v>
      </c>
      <c r="K18" s="42" t="s">
        <v>26</v>
      </c>
      <c r="L18" s="43" t="s">
        <v>27</v>
      </c>
      <c r="M18" s="43" t="s">
        <v>28</v>
      </c>
      <c r="N18" s="41" t="s">
        <v>29</v>
      </c>
      <c r="O18" s="42" t="s">
        <v>30</v>
      </c>
      <c r="P18" s="42" t="s">
        <v>31</v>
      </c>
      <c r="Q18" s="43" t="s">
        <v>32</v>
      </c>
      <c r="R18" s="42" t="s">
        <v>33</v>
      </c>
      <c r="S18" s="43" t="s">
        <v>34</v>
      </c>
      <c r="T18" s="44"/>
      <c r="U18" s="44"/>
      <c r="V18" s="44"/>
      <c r="W18" s="44"/>
      <c r="X18" s="44"/>
      <c r="Y18" s="44"/>
      <c r="Z18" s="44"/>
      <c r="AA18" s="44"/>
    </row>
    <row r="19" s="50" customFormat="true" ht="12.8" hidden="false" customHeight="false" outlineLevel="0" collapsed="false">
      <c r="A19" s="1"/>
      <c r="B19" s="46"/>
      <c r="C19" s="46"/>
      <c r="D19" s="46"/>
      <c r="E19" s="46"/>
      <c r="F19" s="46"/>
      <c r="G19" s="47"/>
      <c r="H19" s="47"/>
      <c r="I19" s="47"/>
      <c r="J19" s="47"/>
      <c r="K19" s="47"/>
      <c r="L19" s="48"/>
      <c r="M19" s="48"/>
      <c r="N19" s="46"/>
      <c r="O19" s="49"/>
      <c r="P19" s="47"/>
      <c r="Q19" s="48"/>
      <c r="R19" s="47"/>
      <c r="S19" s="48"/>
      <c r="T19" s="1"/>
      <c r="U19" s="1"/>
      <c r="V19" s="1"/>
      <c r="W19" s="1"/>
      <c r="X19" s="1"/>
      <c r="Y19" s="1"/>
      <c r="Z19" s="1"/>
      <c r="AA19" s="1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</row>
    <row r="20" s="50" customFormat="true" ht="12.8" hidden="false" customHeight="false" outlineLevel="0" collapsed="false">
      <c r="A20" s="1"/>
      <c r="B20" s="51" t="s">
        <v>35</v>
      </c>
      <c r="C20" s="51"/>
      <c r="D20" s="51"/>
      <c r="E20" s="51"/>
      <c r="F20" s="51"/>
      <c r="G20" s="52"/>
      <c r="H20" s="52"/>
      <c r="I20" s="52"/>
      <c r="J20" s="52"/>
      <c r="K20" s="52"/>
      <c r="L20" s="53"/>
      <c r="M20" s="53"/>
      <c r="N20" s="51"/>
      <c r="O20" s="54"/>
      <c r="P20" s="52"/>
      <c r="Q20" s="53"/>
      <c r="R20" s="52"/>
      <c r="S20" s="53"/>
      <c r="T20" s="1"/>
      <c r="U20" s="1"/>
      <c r="V20" s="1"/>
      <c r="W20" s="1"/>
      <c r="X20" s="1"/>
      <c r="Y20" s="1"/>
      <c r="Z20" s="1"/>
      <c r="AA20" s="1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</row>
    <row r="21" s="10" customFormat="true" ht="12.8" hidden="false" customHeight="false" outlineLevel="0" collapsed="false">
      <c r="A21" s="1"/>
      <c r="B21" s="55" t="s">
        <v>36</v>
      </c>
      <c r="C21" s="55" t="s">
        <v>37</v>
      </c>
      <c r="D21" s="55" t="s">
        <v>38</v>
      </c>
      <c r="E21" s="55" t="s">
        <v>39</v>
      </c>
      <c r="F21" s="55"/>
      <c r="G21" s="56" t="n">
        <v>2500000000</v>
      </c>
      <c r="H21" s="57" t="n">
        <v>2500000000</v>
      </c>
      <c r="I21" s="57" t="n">
        <v>1467185562</v>
      </c>
      <c r="J21" s="57" t="n">
        <v>1467185562</v>
      </c>
      <c r="K21" s="58" t="n">
        <v>0.405</v>
      </c>
      <c r="L21" s="59" t="n">
        <f aca="false">IFERROR(J21/C7, "")</f>
        <v>0.11790719785426</v>
      </c>
      <c r="M21" s="59" t="n">
        <v>0.031</v>
      </c>
      <c r="N21" s="60" t="n">
        <v>0.07</v>
      </c>
      <c r="O21" s="61" t="n">
        <v>0</v>
      </c>
      <c r="P21" s="57" t="n">
        <v>1467185562</v>
      </c>
      <c r="Q21" s="59" t="n">
        <v>0.95</v>
      </c>
      <c r="R21" s="57" t="n">
        <v>1320467006</v>
      </c>
      <c r="S21" s="59" t="n">
        <f aca="false">IFERROR(IF(G21=0,"",R21/$R$86)*($R$50/SUM($R$21:$R$48)),"")</f>
        <v>0.123085262641843</v>
      </c>
      <c r="T21" s="1"/>
      <c r="U21" s="1"/>
      <c r="V21" s="1"/>
      <c r="W21" s="1"/>
      <c r="X21" s="1"/>
      <c r="Y21" s="1"/>
      <c r="Z21" s="1"/>
      <c r="AA21" s="1"/>
    </row>
    <row r="22" s="10" customFormat="true" ht="12.8" hidden="false" customHeight="false" outlineLevel="0" collapsed="false">
      <c r="A22" s="1"/>
      <c r="B22" s="55" t="s">
        <v>40</v>
      </c>
      <c r="C22" s="55"/>
      <c r="D22" s="55" t="s">
        <v>41</v>
      </c>
      <c r="E22" s="55" t="s">
        <v>39</v>
      </c>
      <c r="F22" s="55"/>
      <c r="G22" s="56" t="n">
        <v>300000000</v>
      </c>
      <c r="H22" s="57" t="n">
        <v>300000000</v>
      </c>
      <c r="I22" s="57" t="n">
        <v>175849921</v>
      </c>
      <c r="J22" s="57" t="n">
        <v>175849921</v>
      </c>
      <c r="K22" s="58" t="n">
        <v>0.405</v>
      </c>
      <c r="L22" s="59" t="n">
        <f aca="false">IFERROR(J22/C7, "")</f>
        <v>0.0141317989796324</v>
      </c>
      <c r="M22" s="59" t="n">
        <v>0.01</v>
      </c>
      <c r="N22" s="60" t="n">
        <v>0.07</v>
      </c>
      <c r="O22" s="61" t="n">
        <v>0</v>
      </c>
      <c r="P22" s="57" t="n">
        <v>175849921</v>
      </c>
      <c r="Q22" s="59" t="n">
        <v>0.95</v>
      </c>
      <c r="R22" s="57" t="n">
        <v>158264929</v>
      </c>
      <c r="S22" s="59" t="n">
        <f aca="false">IFERROR(IF(G22=0,"",R22/$R$86)*($R$50/SUM($R$21:$R$48)),"")</f>
        <v>0.0147524173375352</v>
      </c>
      <c r="T22" s="1"/>
      <c r="U22" s="1"/>
      <c r="V22" s="1"/>
      <c r="W22" s="1"/>
      <c r="X22" s="1"/>
      <c r="Y22" s="1"/>
      <c r="Z22" s="1"/>
      <c r="AA22" s="1"/>
    </row>
    <row r="23" s="10" customFormat="true" ht="12.8" hidden="false" customHeight="false" outlineLevel="0" collapsed="false">
      <c r="A23" s="1"/>
      <c r="B23" s="55" t="s">
        <v>42</v>
      </c>
      <c r="C23" s="55"/>
      <c r="D23" s="55" t="s">
        <v>43</v>
      </c>
      <c r="E23" s="55" t="s">
        <v>39</v>
      </c>
      <c r="F23" s="55"/>
      <c r="G23" s="56" t="n">
        <v>9500000</v>
      </c>
      <c r="H23" s="57" t="n">
        <v>9500000</v>
      </c>
      <c r="I23" s="57" t="n">
        <v>5575304</v>
      </c>
      <c r="J23" s="57" t="n">
        <v>5575304</v>
      </c>
      <c r="K23" s="58" t="n">
        <v>0.405</v>
      </c>
      <c r="L23" s="59" t="n">
        <f aca="false">IFERROR(J23/C7, "")</f>
        <v>0.000448047260586146</v>
      </c>
      <c r="M23" s="59" t="n">
        <v>0.007</v>
      </c>
      <c r="N23" s="60" t="n">
        <v>0.15</v>
      </c>
      <c r="O23" s="61" t="n">
        <v>0</v>
      </c>
      <c r="P23" s="57" t="n">
        <v>5575304</v>
      </c>
      <c r="Q23" s="59" t="n">
        <v>0.95</v>
      </c>
      <c r="R23" s="57" t="n">
        <v>5017774</v>
      </c>
      <c r="S23" s="59" t="n">
        <f aca="false">IFERROR(IF(G23=0,"",R23/$R$86)*($R$50/SUM($R$21:$R$48)),"")</f>
        <v>0.000467723939985676</v>
      </c>
      <c r="T23" s="1"/>
      <c r="U23" s="1"/>
      <c r="V23" s="1"/>
      <c r="W23" s="1"/>
      <c r="X23" s="1"/>
      <c r="Y23" s="1"/>
      <c r="Z23" s="1"/>
      <c r="AA23" s="1"/>
    </row>
    <row r="24" s="10" customFormat="true" ht="12.8" hidden="false" customHeight="false" outlineLevel="0" collapsed="false">
      <c r="A24" s="1"/>
      <c r="B24" s="55" t="s">
        <v>44</v>
      </c>
      <c r="C24" s="55"/>
      <c r="D24" s="55" t="s">
        <v>45</v>
      </c>
      <c r="E24" s="55" t="s">
        <v>46</v>
      </c>
      <c r="F24" s="55"/>
      <c r="G24" s="56" t="n">
        <v>45000000</v>
      </c>
      <c r="H24" s="57" t="n">
        <v>45000000</v>
      </c>
      <c r="I24" s="57" t="n">
        <v>20665135</v>
      </c>
      <c r="J24" s="57" t="n">
        <v>20665135</v>
      </c>
      <c r="K24" s="58" t="n">
        <v>0.405</v>
      </c>
      <c r="L24" s="59" t="n">
        <f aca="false">IFERROR(J24/C7, "")</f>
        <v>0.00166070892751192</v>
      </c>
      <c r="M24" s="59" t="n">
        <v>0.005</v>
      </c>
      <c r="N24" s="60" t="n">
        <v>0.07</v>
      </c>
      <c r="O24" s="61" t="n">
        <v>0</v>
      </c>
      <c r="P24" s="57" t="n">
        <v>20665135</v>
      </c>
      <c r="Q24" s="59" t="n">
        <v>0.95</v>
      </c>
      <c r="R24" s="57" t="n">
        <v>18598622</v>
      </c>
      <c r="S24" s="59" t="n">
        <f aca="false">IFERROR(IF(G24=0,"",R24/$R$86)*($R$50/SUM($R$21:$R$48)),"")</f>
        <v>0.00173364140356745</v>
      </c>
      <c r="T24" s="1"/>
      <c r="U24" s="1"/>
      <c r="V24" s="1"/>
      <c r="W24" s="1"/>
      <c r="X24" s="1"/>
      <c r="Y24" s="1"/>
      <c r="Z24" s="1"/>
      <c r="AA24" s="1"/>
    </row>
    <row r="25" s="10" customFormat="true" ht="12.8" hidden="false" customHeight="false" outlineLevel="0" collapsed="false">
      <c r="A25" s="1"/>
      <c r="B25" s="55" t="s">
        <v>47</v>
      </c>
      <c r="C25" s="55"/>
      <c r="D25" s="55" t="s">
        <v>45</v>
      </c>
      <c r="E25" s="55" t="s">
        <v>48</v>
      </c>
      <c r="F25" s="55"/>
      <c r="G25" s="56" t="n">
        <v>3500000</v>
      </c>
      <c r="H25" s="57" t="n">
        <v>3500000</v>
      </c>
      <c r="I25" s="57" t="n">
        <v>2054059</v>
      </c>
      <c r="J25" s="57" t="n">
        <v>2054059</v>
      </c>
      <c r="K25" s="58" t="n">
        <v>0.405</v>
      </c>
      <c r="L25" s="59" t="n">
        <f aca="false">IFERROR(J25/C7, "")</f>
        <v>0.000165070013766482</v>
      </c>
      <c r="M25" s="59" t="n">
        <v>0.004</v>
      </c>
      <c r="N25" s="60" t="n">
        <v>0.1</v>
      </c>
      <c r="O25" s="61" t="n">
        <v>0</v>
      </c>
      <c r="P25" s="57" t="n">
        <v>2054059</v>
      </c>
      <c r="Q25" s="59" t="n">
        <v>0.95</v>
      </c>
      <c r="R25" s="57" t="n">
        <v>1848653</v>
      </c>
      <c r="S25" s="59" t="n">
        <f aca="false">IFERROR(IF(G25=0,"",R25/$R$86)*($R$50/SUM($R$21:$R$48)),"")</f>
        <v>0.00017231929234484</v>
      </c>
      <c r="T25" s="1"/>
      <c r="U25" s="1"/>
      <c r="V25" s="1"/>
      <c r="W25" s="1"/>
      <c r="X25" s="1"/>
      <c r="Y25" s="1"/>
      <c r="Z25" s="1"/>
      <c r="AA25" s="1"/>
    </row>
    <row r="26" s="10" customFormat="true" ht="12.8" hidden="false" customHeight="false" outlineLevel="0" collapsed="false">
      <c r="A26" s="1"/>
      <c r="B26" s="55" t="s">
        <v>49</v>
      </c>
      <c r="C26" s="55"/>
      <c r="D26" s="55" t="s">
        <v>50</v>
      </c>
      <c r="E26" s="55" t="s">
        <v>39</v>
      </c>
      <c r="F26" s="55"/>
      <c r="G26" s="56" t="n">
        <v>100000000</v>
      </c>
      <c r="H26" s="57" t="n">
        <v>100000000</v>
      </c>
      <c r="I26" s="57" t="n">
        <v>58616639</v>
      </c>
      <c r="J26" s="57" t="n">
        <v>58616639</v>
      </c>
      <c r="K26" s="58" t="n">
        <v>0.405</v>
      </c>
      <c r="L26" s="59" t="n">
        <f aca="false">IFERROR(J26/C7, "")</f>
        <v>0.004710599552727</v>
      </c>
      <c r="M26" s="59" t="n">
        <v>0.004</v>
      </c>
      <c r="N26" s="60" t="n">
        <v>0.07</v>
      </c>
      <c r="O26" s="61" t="n">
        <v>0</v>
      </c>
      <c r="P26" s="57" t="n">
        <v>58616639</v>
      </c>
      <c r="Q26" s="59" t="n">
        <v>0.95</v>
      </c>
      <c r="R26" s="57" t="n">
        <v>52754975</v>
      </c>
      <c r="S26" s="59" t="n">
        <f aca="false">IFERROR(IF(G26=0,"",R26/$R$86)*($R$50/SUM($R$21:$R$48)),"")</f>
        <v>0.00491747232156048</v>
      </c>
      <c r="T26" s="1"/>
      <c r="U26" s="1"/>
      <c r="V26" s="1"/>
      <c r="W26" s="1"/>
      <c r="X26" s="1"/>
      <c r="Y26" s="1"/>
      <c r="Z26" s="1"/>
      <c r="AA26" s="1"/>
    </row>
    <row r="27" customFormat="false" ht="12.8" hidden="false" customHeight="false" outlineLevel="0" collapsed="false">
      <c r="B27" s="55" t="s">
        <v>51</v>
      </c>
      <c r="C27" s="55"/>
      <c r="D27" s="55" t="s">
        <v>43</v>
      </c>
      <c r="E27" s="55" t="s">
        <v>46</v>
      </c>
      <c r="F27" s="55"/>
      <c r="G27" s="56" t="n">
        <v>10000000</v>
      </c>
      <c r="H27" s="57" t="n">
        <v>10000000</v>
      </c>
      <c r="I27" s="57" t="n">
        <v>4592252</v>
      </c>
      <c r="J27" s="57" t="n">
        <v>4592252</v>
      </c>
      <c r="K27" s="58" t="n">
        <v>0.405</v>
      </c>
      <c r="L27" s="59" t="n">
        <f aca="false">IFERROR(J27/C7, "")</f>
        <v>0.000369046410477573</v>
      </c>
      <c r="M27" s="59" t="n">
        <v>0.004</v>
      </c>
      <c r="N27" s="60" t="n">
        <v>0.1</v>
      </c>
      <c r="O27" s="61" t="n">
        <v>0</v>
      </c>
      <c r="P27" s="57" t="n">
        <v>4592252</v>
      </c>
      <c r="Q27" s="59" t="n">
        <v>0.95</v>
      </c>
      <c r="R27" s="57" t="n">
        <v>4133027</v>
      </c>
      <c r="S27" s="59" t="n">
        <f aca="false">IFERROR(IF(G27=0,"",R27/$R$86)*($R$50/SUM($R$21:$R$48)),"")</f>
        <v>0.000385253634880163</v>
      </c>
      <c r="CG27" s="1"/>
      <c r="XFD27" s="5"/>
    </row>
    <row r="28" customFormat="false" ht="12.8" hidden="false" customHeight="false" outlineLevel="0" collapsed="false">
      <c r="B28" s="55" t="s">
        <v>52</v>
      </c>
      <c r="C28" s="55"/>
      <c r="D28" s="55" t="s">
        <v>53</v>
      </c>
      <c r="E28" s="55" t="s">
        <v>39</v>
      </c>
      <c r="F28" s="55"/>
      <c r="G28" s="56" t="n">
        <v>20000000</v>
      </c>
      <c r="H28" s="57" t="n">
        <v>20000000</v>
      </c>
      <c r="I28" s="57" t="n">
        <v>11723326</v>
      </c>
      <c r="J28" s="57" t="n">
        <v>11723326</v>
      </c>
      <c r="K28" s="58" t="n">
        <v>0.405</v>
      </c>
      <c r="L28" s="59" t="n">
        <f aca="false">IFERROR(J28/C7, "")</f>
        <v>0.00094211976589229</v>
      </c>
      <c r="M28" s="59" t="n">
        <v>0.003</v>
      </c>
      <c r="N28" s="60" t="n">
        <v>0.05</v>
      </c>
      <c r="O28" s="61" t="n">
        <v>0</v>
      </c>
      <c r="P28" s="57" t="n">
        <v>11723326</v>
      </c>
      <c r="Q28" s="59" t="n">
        <v>0.95</v>
      </c>
      <c r="R28" s="57" t="n">
        <v>10550993</v>
      </c>
      <c r="S28" s="59" t="n">
        <f aca="false">IFERROR(IF(G28=0,"",R28/$R$86)*($R$50/SUM($R$21:$R$48)),"")</f>
        <v>0.00098349427788523</v>
      </c>
      <c r="CG28" s="1"/>
      <c r="XFD28" s="5"/>
    </row>
    <row r="29" customFormat="false" ht="12.8" hidden="false" customHeight="false" outlineLevel="0" collapsed="false">
      <c r="B29" s="55" t="s">
        <v>54</v>
      </c>
      <c r="C29" s="55"/>
      <c r="D29" s="55" t="s">
        <v>55</v>
      </c>
      <c r="E29" s="55" t="s">
        <v>39</v>
      </c>
      <c r="F29" s="55"/>
      <c r="G29" s="56" t="n">
        <v>15000000</v>
      </c>
      <c r="H29" s="57" t="n">
        <v>15000000</v>
      </c>
      <c r="I29" s="57" t="n">
        <v>8792496</v>
      </c>
      <c r="J29" s="57" t="n">
        <v>8792496</v>
      </c>
      <c r="K29" s="58" t="n">
        <v>0.405</v>
      </c>
      <c r="L29" s="59" t="n">
        <f aca="false">IFERROR(J29/C7, "")</f>
        <v>0.000706589944963476</v>
      </c>
      <c r="M29" s="59" t="n">
        <v>0.003</v>
      </c>
      <c r="N29" s="60" t="n">
        <v>0.15</v>
      </c>
      <c r="O29" s="61" t="n">
        <v>0</v>
      </c>
      <c r="P29" s="57" t="n">
        <v>8792496</v>
      </c>
      <c r="Q29" s="59" t="n">
        <v>0.95</v>
      </c>
      <c r="R29" s="57" t="n">
        <v>7913246</v>
      </c>
      <c r="S29" s="59" t="n">
        <f aca="false">IFERROR(IF(G29=0,"",R29/$R$86)*($R$50/SUM($R$21:$R$48)),"")</f>
        <v>0.000737620824930714</v>
      </c>
      <c r="CG29" s="1"/>
      <c r="XFD29" s="5"/>
    </row>
    <row r="30" customFormat="false" ht="12.8" hidden="false" customHeight="false" outlineLevel="0" collapsed="false">
      <c r="B30" s="55" t="s">
        <v>56</v>
      </c>
      <c r="C30" s="55"/>
      <c r="D30" s="55" t="s">
        <v>53</v>
      </c>
      <c r="E30" s="55" t="s">
        <v>39</v>
      </c>
      <c r="F30" s="55"/>
      <c r="G30" s="56" t="n">
        <v>10000000</v>
      </c>
      <c r="H30" s="57" t="n">
        <v>10000000</v>
      </c>
      <c r="I30" s="57" t="n">
        <v>4592252</v>
      </c>
      <c r="J30" s="57" t="n">
        <v>4592252</v>
      </c>
      <c r="K30" s="58" t="n">
        <v>0.405</v>
      </c>
      <c r="L30" s="59" t="n">
        <f aca="false">IFERROR(J30/C7, "")</f>
        <v>0.000369046410477573</v>
      </c>
      <c r="M30" s="59" t="n">
        <v>0.003</v>
      </c>
      <c r="N30" s="60" t="n">
        <v>0.1</v>
      </c>
      <c r="O30" s="61" t="n">
        <v>0</v>
      </c>
      <c r="P30" s="57" t="n">
        <v>4592252</v>
      </c>
      <c r="Q30" s="59" t="n">
        <v>0.95</v>
      </c>
      <c r="R30" s="57" t="n">
        <v>4133027</v>
      </c>
      <c r="S30" s="59" t="n">
        <f aca="false">IFERROR(IF(G30=0,"",R30/$R$86)*($R$50/SUM($R$21:$R$48)),"")</f>
        <v>0.000385253634880163</v>
      </c>
      <c r="CG30" s="1"/>
      <c r="XFD30" s="5"/>
    </row>
    <row r="31" customFormat="false" ht="12.8" hidden="false" customHeight="false" outlineLevel="0" collapsed="false">
      <c r="B31" s="55" t="s">
        <v>57</v>
      </c>
      <c r="C31" s="55"/>
      <c r="D31" s="55" t="s">
        <v>55</v>
      </c>
      <c r="E31" s="55" t="s">
        <v>39</v>
      </c>
      <c r="F31" s="55"/>
      <c r="G31" s="56" t="n">
        <v>200000000</v>
      </c>
      <c r="H31" s="57" t="n">
        <v>200000000</v>
      </c>
      <c r="I31" s="57" t="n">
        <v>117233280</v>
      </c>
      <c r="J31" s="57" t="n">
        <v>117233280</v>
      </c>
      <c r="K31" s="58" t="n">
        <v>0.405</v>
      </c>
      <c r="L31" s="59" t="n">
        <f aca="false">IFERROR(J31/C7, "")</f>
        <v>0.00942119926617969</v>
      </c>
      <c r="M31" s="59" t="n">
        <v>0.003</v>
      </c>
      <c r="N31" s="60" t="n">
        <v>0.05</v>
      </c>
      <c r="O31" s="61" t="n">
        <v>0</v>
      </c>
      <c r="P31" s="57" t="n">
        <v>117233280</v>
      </c>
      <c r="Q31" s="59" t="n">
        <v>0.95</v>
      </c>
      <c r="R31" s="57" t="n">
        <v>105509952</v>
      </c>
      <c r="S31" s="59" t="n">
        <f aca="false">IFERROR(IF(G31=0,"",R31/$R$86)*($R$50/SUM($R$21:$R$48)),"")</f>
        <v>0.00983494482954783</v>
      </c>
      <c r="CG31" s="1"/>
      <c r="XFD31" s="5"/>
    </row>
    <row r="32" customFormat="false" ht="12.8" hidden="false" customHeight="false" outlineLevel="0" collapsed="false">
      <c r="B32" s="55" t="s">
        <v>58</v>
      </c>
      <c r="C32" s="55"/>
      <c r="D32" s="55" t="s">
        <v>59</v>
      </c>
      <c r="E32" s="55" t="s">
        <v>60</v>
      </c>
      <c r="F32" s="55"/>
      <c r="G32" s="56" t="n">
        <v>458000000</v>
      </c>
      <c r="H32" s="57" t="n">
        <v>458000000</v>
      </c>
      <c r="I32" s="57" t="n">
        <v>210325050</v>
      </c>
      <c r="J32" s="57" t="n">
        <v>210325050</v>
      </c>
      <c r="K32" s="58" t="n">
        <v>0.405</v>
      </c>
      <c r="L32" s="59" t="n">
        <f aca="false">IFERROR(J32/C7, "")</f>
        <v>0.0169023182386367</v>
      </c>
      <c r="M32" s="59" t="n">
        <v>0.003</v>
      </c>
      <c r="N32" s="60" t="n">
        <v>0.1</v>
      </c>
      <c r="O32" s="61" t="n">
        <v>0</v>
      </c>
      <c r="P32" s="57" t="n">
        <v>210325050</v>
      </c>
      <c r="Q32" s="59" t="n">
        <v>0.95</v>
      </c>
      <c r="R32" s="57" t="n">
        <v>189292545</v>
      </c>
      <c r="S32" s="59" t="n">
        <f aca="false">IFERROR(IF(G32=0,"",R32/$R$86)*($R$50/SUM($R$21:$R$48)),"")</f>
        <v>0.017644607939161</v>
      </c>
      <c r="CG32" s="1"/>
      <c r="XFD32" s="5"/>
    </row>
    <row r="33" customFormat="false" ht="12.8" hidden="false" customHeight="false" outlineLevel="0" collapsed="false">
      <c r="B33" s="55" t="s">
        <v>61</v>
      </c>
      <c r="C33" s="55"/>
      <c r="D33" s="55" t="s">
        <v>43</v>
      </c>
      <c r="E33" s="55" t="s">
        <v>60</v>
      </c>
      <c r="F33" s="55"/>
      <c r="G33" s="56" t="n">
        <v>712000000</v>
      </c>
      <c r="H33" s="57" t="n">
        <v>712000000</v>
      </c>
      <c r="I33" s="57" t="n">
        <v>417350192</v>
      </c>
      <c r="J33" s="57" t="n">
        <v>417350192</v>
      </c>
      <c r="K33" s="58" t="n">
        <v>0.405</v>
      </c>
      <c r="L33" s="59" t="n">
        <f aca="false">IFERROR(J33/C7, "")</f>
        <v>0.033539446500263</v>
      </c>
      <c r="M33" s="59" t="n">
        <v>0.003</v>
      </c>
      <c r="N33" s="60" t="n">
        <v>0.15</v>
      </c>
      <c r="O33" s="61" t="n">
        <v>0</v>
      </c>
      <c r="P33" s="57" t="n">
        <v>417350192</v>
      </c>
      <c r="Q33" s="59" t="n">
        <v>0.95</v>
      </c>
      <c r="R33" s="57" t="n">
        <v>375615173</v>
      </c>
      <c r="S33" s="59" t="n">
        <f aca="false">IFERROR(IF(G33=0,"",R33/$R$86)*($R$50/SUM($R$21:$R$48)),"")</f>
        <v>0.0350123797193658</v>
      </c>
      <c r="CG33" s="1"/>
      <c r="XFD33" s="5"/>
    </row>
    <row r="34" customFormat="false" ht="12.8" hidden="false" customHeight="false" outlineLevel="0" collapsed="false">
      <c r="B34" s="55" t="s">
        <v>62</v>
      </c>
      <c r="C34" s="55"/>
      <c r="D34" s="55" t="s">
        <v>39</v>
      </c>
      <c r="E34" s="55" t="s">
        <v>63</v>
      </c>
      <c r="F34" s="55"/>
      <c r="G34" s="56" t="n">
        <v>143000000</v>
      </c>
      <c r="H34" s="57" t="n">
        <v>143000000</v>
      </c>
      <c r="I34" s="57" t="n">
        <v>65669175</v>
      </c>
      <c r="J34" s="57" t="n">
        <v>65669175</v>
      </c>
      <c r="K34" s="58" t="n">
        <v>0.405</v>
      </c>
      <c r="L34" s="59" t="n">
        <f aca="false">IFERROR(J34/C7, "")</f>
        <v>0.00527736137145208</v>
      </c>
      <c r="M34" s="59" t="n">
        <v>0.002</v>
      </c>
      <c r="N34" s="60" t="n">
        <v>0.05</v>
      </c>
      <c r="O34" s="61" t="n">
        <v>0</v>
      </c>
      <c r="P34" s="57" t="n">
        <v>65669175</v>
      </c>
      <c r="Q34" s="59" t="n">
        <v>0.95</v>
      </c>
      <c r="R34" s="57" t="n">
        <v>59102258</v>
      </c>
      <c r="S34" s="59" t="n">
        <f aca="false">IFERROR(IF(G34=0,"",R34/$R$86)*($R$50/SUM($R$21:$R$48)),"")</f>
        <v>0.00550912435948887</v>
      </c>
      <c r="CG34" s="1"/>
      <c r="XFD34" s="5"/>
    </row>
    <row r="35" customFormat="false" ht="12.8" hidden="false" customHeight="false" outlineLevel="0" collapsed="false">
      <c r="B35" s="55" t="s">
        <v>64</v>
      </c>
      <c r="C35" s="55"/>
      <c r="D35" s="55" t="s">
        <v>39</v>
      </c>
      <c r="E35" s="55" t="s">
        <v>60</v>
      </c>
      <c r="F35" s="55"/>
      <c r="G35" s="56" t="n">
        <v>713000000</v>
      </c>
      <c r="H35" s="57" t="n">
        <v>713000000</v>
      </c>
      <c r="I35" s="57" t="n">
        <v>327427425</v>
      </c>
      <c r="J35" s="57" t="n">
        <v>327427425</v>
      </c>
      <c r="K35" s="58" t="n">
        <v>0.405</v>
      </c>
      <c r="L35" s="59" t="n">
        <f aca="false">IFERROR(J35/C7, "")</f>
        <v>0.02631299760731</v>
      </c>
      <c r="M35" s="59" t="n">
        <v>0.002</v>
      </c>
      <c r="N35" s="60" t="n">
        <v>0.1</v>
      </c>
      <c r="O35" s="61" t="n">
        <v>0</v>
      </c>
      <c r="P35" s="57" t="n">
        <v>327427425</v>
      </c>
      <c r="Q35" s="59" t="n">
        <v>0.95</v>
      </c>
      <c r="R35" s="57" t="n">
        <v>294684682</v>
      </c>
      <c r="S35" s="59" t="n">
        <f aca="false">IFERROR(IF(G35=0,"",R35/$R$86)*($R$50/SUM($R$21:$R$48)),"")</f>
        <v>0.0274685708281134</v>
      </c>
      <c r="CG35" s="1"/>
      <c r="XFD35" s="5"/>
    </row>
    <row r="36" customFormat="false" ht="12.8" hidden="false" customHeight="false" outlineLevel="0" collapsed="false">
      <c r="B36" s="55" t="s">
        <v>65</v>
      </c>
      <c r="C36" s="55"/>
      <c r="D36" s="55" t="s">
        <v>41</v>
      </c>
      <c r="E36" s="55" t="s">
        <v>39</v>
      </c>
      <c r="F36" s="55"/>
      <c r="G36" s="56" t="n">
        <v>147000000</v>
      </c>
      <c r="H36" s="57" t="n">
        <v>147000000</v>
      </c>
      <c r="I36" s="57" t="n">
        <v>86166402</v>
      </c>
      <c r="J36" s="57" t="n">
        <v>86166402</v>
      </c>
      <c r="K36" s="58" t="n">
        <v>0.405</v>
      </c>
      <c r="L36" s="59" t="n">
        <f aca="false">IFERROR(J36/C7, "")</f>
        <v>0.00692457673530711</v>
      </c>
      <c r="M36" s="59" t="n">
        <v>0.002</v>
      </c>
      <c r="N36" s="60" t="n">
        <v>0.07</v>
      </c>
      <c r="O36" s="61" t="n">
        <v>0</v>
      </c>
      <c r="P36" s="57" t="n">
        <v>86166402</v>
      </c>
      <c r="Q36" s="59" t="n">
        <v>0.95</v>
      </c>
      <c r="R36" s="57" t="n">
        <v>77549762</v>
      </c>
      <c r="S36" s="59" t="n">
        <f aca="false">IFERROR(IF(G36=0,"",R36/$R$86)*($R$50/SUM($R$21:$R$48)),"")</f>
        <v>0.00722867953550547</v>
      </c>
      <c r="CG36" s="1"/>
      <c r="XFD36" s="5"/>
    </row>
    <row r="37" customFormat="false" ht="12.8" hidden="false" customHeight="false" outlineLevel="0" collapsed="false">
      <c r="B37" s="55" t="s">
        <v>66</v>
      </c>
      <c r="C37" s="55"/>
      <c r="D37" s="55" t="s">
        <v>43</v>
      </c>
      <c r="E37" s="55" t="s">
        <v>39</v>
      </c>
      <c r="F37" s="55"/>
      <c r="G37" s="56" t="n">
        <v>709000000</v>
      </c>
      <c r="H37" s="57" t="n">
        <v>709000000</v>
      </c>
      <c r="I37" s="57" t="n">
        <v>325590525</v>
      </c>
      <c r="J37" s="57" t="n">
        <v>325590525</v>
      </c>
      <c r="K37" s="58" t="n">
        <v>0.405</v>
      </c>
      <c r="L37" s="59" t="n">
        <f aca="false">IFERROR(J37/C7, "")</f>
        <v>0.0261653791074092</v>
      </c>
      <c r="M37" s="59" t="n">
        <v>0.002</v>
      </c>
      <c r="N37" s="60" t="n">
        <v>0.1</v>
      </c>
      <c r="O37" s="61" t="n">
        <v>0</v>
      </c>
      <c r="P37" s="57" t="n">
        <v>325590525</v>
      </c>
      <c r="Q37" s="59" t="n">
        <v>0.95</v>
      </c>
      <c r="R37" s="57" t="n">
        <v>293031472</v>
      </c>
      <c r="S37" s="59" t="n">
        <f aca="false">IFERROR(IF(G37=0,"",R37/$R$86)*($R$50/SUM($R$21:$R$48)),"")</f>
        <v>0.0273144694487321</v>
      </c>
      <c r="CG37" s="1"/>
      <c r="XFD37" s="5"/>
    </row>
    <row r="38" customFormat="false" ht="12.8" hidden="false" customHeight="false" outlineLevel="0" collapsed="false">
      <c r="B38" s="55" t="s">
        <v>67</v>
      </c>
      <c r="C38" s="55"/>
      <c r="D38" s="55" t="s">
        <v>38</v>
      </c>
      <c r="E38" s="55" t="s">
        <v>68</v>
      </c>
      <c r="F38" s="55"/>
      <c r="G38" s="56" t="n">
        <v>775000000</v>
      </c>
      <c r="H38" s="57" t="n">
        <v>775000000</v>
      </c>
      <c r="I38" s="57" t="n">
        <v>454278650</v>
      </c>
      <c r="J38" s="57" t="n">
        <v>454278650</v>
      </c>
      <c r="K38" s="58" t="n">
        <v>0.405</v>
      </c>
      <c r="L38" s="59" t="n">
        <f aca="false">IFERROR(J38/C7, "")</f>
        <v>0.036507122243966</v>
      </c>
      <c r="M38" s="59" t="n">
        <v>0.001</v>
      </c>
      <c r="N38" s="60" t="n">
        <v>0.15</v>
      </c>
      <c r="O38" s="61" t="n">
        <v>0</v>
      </c>
      <c r="P38" s="57" t="n">
        <v>454278650</v>
      </c>
      <c r="Q38" s="59" t="n">
        <v>0.95</v>
      </c>
      <c r="R38" s="57" t="n">
        <v>408850785</v>
      </c>
      <c r="S38" s="59" t="n">
        <f aca="false">IFERROR(IF(G38=0,"",R38/$R$86)*($R$50/SUM($R$21:$R$48)),"")</f>
        <v>0.03811038520795</v>
      </c>
      <c r="CG38" s="1"/>
      <c r="XFD38" s="5"/>
    </row>
    <row r="39" customFormat="false" ht="12.8" hidden="false" customHeight="false" outlineLevel="0" collapsed="false">
      <c r="B39" s="55" t="s">
        <v>69</v>
      </c>
      <c r="C39" s="55"/>
      <c r="D39" s="55" t="s">
        <v>43</v>
      </c>
      <c r="E39" s="55" t="s">
        <v>39</v>
      </c>
      <c r="F39" s="55"/>
      <c r="G39" s="56" t="n">
        <v>584000000</v>
      </c>
      <c r="H39" s="57" t="n">
        <v>584000000</v>
      </c>
      <c r="I39" s="57" t="n">
        <v>342320944</v>
      </c>
      <c r="J39" s="57" t="n">
        <v>342320944</v>
      </c>
      <c r="K39" s="58" t="n">
        <v>0.405</v>
      </c>
      <c r="L39" s="59" t="n">
        <f aca="false">IFERROR(J39/C7, "")</f>
        <v>0.0275098830844854</v>
      </c>
      <c r="M39" s="59" t="n">
        <v>0.001</v>
      </c>
      <c r="N39" s="60" t="n">
        <v>0.1</v>
      </c>
      <c r="O39" s="61" t="n">
        <v>0</v>
      </c>
      <c r="P39" s="57" t="n">
        <v>342320944</v>
      </c>
      <c r="Q39" s="59" t="n">
        <v>0.95</v>
      </c>
      <c r="R39" s="57" t="n">
        <v>308088850</v>
      </c>
      <c r="S39" s="59" t="n">
        <f aca="false">IFERROR(IF(G39=0,"",R39/$R$86)*($R$50/SUM($R$21:$R$48)),"")</f>
        <v>0.0287180193423729</v>
      </c>
      <c r="CG39" s="1"/>
      <c r="XFD39" s="5"/>
    </row>
    <row r="40" customFormat="false" ht="12.8" hidden="false" customHeight="false" outlineLevel="0" collapsed="false">
      <c r="B40" s="55" t="s">
        <v>70</v>
      </c>
      <c r="C40" s="55"/>
      <c r="D40" s="55" t="s">
        <v>38</v>
      </c>
      <c r="E40" s="55" t="s">
        <v>68</v>
      </c>
      <c r="F40" s="55"/>
      <c r="G40" s="56" t="n">
        <v>679000000</v>
      </c>
      <c r="H40" s="57" t="n">
        <v>679000000</v>
      </c>
      <c r="I40" s="57" t="n">
        <v>398006714</v>
      </c>
      <c r="J40" s="57" t="n">
        <v>398006714</v>
      </c>
      <c r="K40" s="58" t="n">
        <v>0.405</v>
      </c>
      <c r="L40" s="59" t="n">
        <f aca="false">IFERROR(J40/C7, "")</f>
        <v>0.0319849496821328</v>
      </c>
      <c r="M40" s="59" t="n">
        <v>0.001</v>
      </c>
      <c r="N40" s="60" t="n">
        <v>0.07</v>
      </c>
      <c r="O40" s="61" t="n">
        <v>0</v>
      </c>
      <c r="P40" s="57" t="n">
        <v>398006714</v>
      </c>
      <c r="Q40" s="59" t="n">
        <v>0.95</v>
      </c>
      <c r="R40" s="57" t="n">
        <v>358206043</v>
      </c>
      <c r="S40" s="59" t="n">
        <f aca="false">IFERROR(IF(G40=0,"",R40/$R$86)*($R$50/SUM($R$21:$R$48)),"")</f>
        <v>0.0333896149485087</v>
      </c>
      <c r="CG40" s="1"/>
      <c r="XFD40" s="5"/>
    </row>
    <row r="41" customFormat="false" ht="12.8" hidden="false" customHeight="false" outlineLevel="0" collapsed="false">
      <c r="B41" s="55" t="s">
        <v>71</v>
      </c>
      <c r="C41" s="55"/>
      <c r="D41" s="55" t="s">
        <v>43</v>
      </c>
      <c r="E41" s="55" t="s">
        <v>39</v>
      </c>
      <c r="F41" s="55"/>
      <c r="G41" s="56" t="n">
        <v>624000000</v>
      </c>
      <c r="H41" s="57" t="n">
        <v>624000000</v>
      </c>
      <c r="I41" s="57" t="n">
        <v>286556400</v>
      </c>
      <c r="J41" s="57" t="n">
        <v>286556400</v>
      </c>
      <c r="K41" s="58" t="n">
        <v>0.405</v>
      </c>
      <c r="L41" s="59" t="n">
        <f aca="false">IFERROR(J41/C7, "")</f>
        <v>0.0230284859845182</v>
      </c>
      <c r="M41" s="59" t="n">
        <v>0.001</v>
      </c>
      <c r="N41" s="60" t="n">
        <v>0.07</v>
      </c>
      <c r="O41" s="61" t="n">
        <v>0</v>
      </c>
      <c r="P41" s="57" t="n">
        <v>286556400</v>
      </c>
      <c r="Q41" s="59" t="n">
        <v>0.95</v>
      </c>
      <c r="R41" s="57" t="n">
        <v>257900760</v>
      </c>
      <c r="S41" s="59" t="n">
        <f aca="false">IFERROR(IF(G41=0,"",R41/$R$86)*($R$50/SUM($R$21:$R$48)),"")</f>
        <v>0.0240398151834858</v>
      </c>
      <c r="CG41" s="1"/>
      <c r="XFD41" s="5"/>
    </row>
    <row r="42" customFormat="false" ht="12.8" hidden="false" customHeight="false" outlineLevel="0" collapsed="false">
      <c r="B42" s="55" t="s">
        <v>72</v>
      </c>
      <c r="C42" s="55"/>
      <c r="D42" s="55" t="s">
        <v>59</v>
      </c>
      <c r="E42" s="55" t="s">
        <v>60</v>
      </c>
      <c r="F42" s="55"/>
      <c r="G42" s="56" t="n">
        <v>276000000</v>
      </c>
      <c r="H42" s="57" t="n">
        <v>276000000</v>
      </c>
      <c r="I42" s="57" t="n">
        <v>126746100</v>
      </c>
      <c r="J42" s="57" t="n">
        <v>126746100</v>
      </c>
      <c r="K42" s="58" t="n">
        <v>0.405</v>
      </c>
      <c r="L42" s="59" t="n">
        <f aca="false">IFERROR(J42/C7, "")</f>
        <v>0.0101856764931523</v>
      </c>
      <c r="M42" s="59" t="n">
        <v>0.001</v>
      </c>
      <c r="N42" s="60" t="n">
        <v>0.1</v>
      </c>
      <c r="O42" s="61" t="n">
        <v>0</v>
      </c>
      <c r="P42" s="57" t="n">
        <v>126746100</v>
      </c>
      <c r="Q42" s="59" t="n">
        <v>0.95</v>
      </c>
      <c r="R42" s="57" t="n">
        <v>114071490</v>
      </c>
      <c r="S42" s="59" t="n">
        <f aca="false">IFERROR(IF(G42=0,"",R42/$R$86)*($R$50/SUM($R$21:$R$48)),"")</f>
        <v>0.010632995177311</v>
      </c>
      <c r="CG42" s="1"/>
      <c r="XFD42" s="5"/>
    </row>
    <row r="43" customFormat="false" ht="12.8" hidden="false" customHeight="false" outlineLevel="0" collapsed="false">
      <c r="B43" s="55" t="s">
        <v>73</v>
      </c>
      <c r="C43" s="55"/>
      <c r="D43" s="55" t="s">
        <v>50</v>
      </c>
      <c r="E43" s="55" t="s">
        <v>39</v>
      </c>
      <c r="F43" s="55"/>
      <c r="G43" s="56" t="n">
        <v>297000000</v>
      </c>
      <c r="H43" s="57" t="n">
        <v>297000000</v>
      </c>
      <c r="I43" s="57" t="n">
        <v>136389825</v>
      </c>
      <c r="J43" s="57" t="n">
        <v>136389825</v>
      </c>
      <c r="K43" s="58" t="n">
        <v>0.405</v>
      </c>
      <c r="L43" s="59" t="n">
        <f aca="false">IFERROR(J43/C7, "")</f>
        <v>0.0109606736176312</v>
      </c>
      <c r="M43" s="59" t="n">
        <v>0.001</v>
      </c>
      <c r="N43" s="60" t="n">
        <v>0.1</v>
      </c>
      <c r="O43" s="61" t="n">
        <v>0</v>
      </c>
      <c r="P43" s="57" t="n">
        <v>136389825</v>
      </c>
      <c r="Q43" s="59" t="n">
        <v>0.95</v>
      </c>
      <c r="R43" s="57" t="n">
        <v>122750842</v>
      </c>
      <c r="S43" s="59" t="n">
        <f aca="false">IFERROR(IF(G43=0,"",R43/$R$86)*($R$50/SUM($R$21:$R$48)),"")</f>
        <v>0.0114420273724562</v>
      </c>
      <c r="CG43" s="1"/>
      <c r="XFD43" s="5"/>
    </row>
    <row r="44" customFormat="false" ht="12.8" hidden="false" customHeight="false" outlineLevel="0" collapsed="false">
      <c r="B44" s="55" t="s">
        <v>74</v>
      </c>
      <c r="C44" s="55"/>
      <c r="D44" s="55" t="s">
        <v>41</v>
      </c>
      <c r="E44" s="55" t="s">
        <v>75</v>
      </c>
      <c r="F44" s="55"/>
      <c r="G44" s="56" t="n">
        <v>742000000</v>
      </c>
      <c r="H44" s="57" t="n">
        <v>742000000</v>
      </c>
      <c r="I44" s="57" t="n">
        <v>434935172</v>
      </c>
      <c r="J44" s="57" t="n">
        <v>434935172</v>
      </c>
      <c r="K44" s="58" t="n">
        <v>0.405</v>
      </c>
      <c r="L44" s="59" t="n">
        <f aca="false">IFERROR(J44/C7, "")</f>
        <v>0.0349526254258359</v>
      </c>
      <c r="M44" s="59" t="n">
        <v>0.001</v>
      </c>
      <c r="N44" s="60" t="n">
        <v>0.1</v>
      </c>
      <c r="O44" s="61" t="n">
        <v>0</v>
      </c>
      <c r="P44" s="57" t="n">
        <v>434935172</v>
      </c>
      <c r="Q44" s="59" t="n">
        <v>0.95</v>
      </c>
      <c r="R44" s="57" t="n">
        <v>391441655</v>
      </c>
      <c r="S44" s="59" t="n">
        <f aca="false">IFERROR(IF(G44=0,"",R44/$R$86)*($R$50/SUM($R$21:$R$48)),"")</f>
        <v>0.0364876204370929</v>
      </c>
      <c r="CG44" s="1"/>
      <c r="XFD44" s="5"/>
    </row>
    <row r="45" customFormat="false" ht="12.8" hidden="false" customHeight="false" outlineLevel="0" collapsed="false">
      <c r="B45" s="55" t="s">
        <v>76</v>
      </c>
      <c r="C45" s="55"/>
      <c r="D45" s="55" t="s">
        <v>50</v>
      </c>
      <c r="E45" s="55" t="s">
        <v>39</v>
      </c>
      <c r="F45" s="55"/>
      <c r="G45" s="56" t="n">
        <v>259000000</v>
      </c>
      <c r="H45" s="57" t="n">
        <v>259000000</v>
      </c>
      <c r="I45" s="57" t="n">
        <v>151816994</v>
      </c>
      <c r="J45" s="57" t="n">
        <v>151816994</v>
      </c>
      <c r="K45" s="58" t="n">
        <v>0.405</v>
      </c>
      <c r="L45" s="59" t="n">
        <f aca="false">IFERROR(J45/C7, "")</f>
        <v>0.0122004447241125</v>
      </c>
      <c r="M45" s="59" t="n">
        <v>0.001</v>
      </c>
      <c r="N45" s="60" t="n">
        <v>0.1</v>
      </c>
      <c r="O45" s="61" t="n">
        <v>0</v>
      </c>
      <c r="P45" s="57" t="n">
        <v>151816994</v>
      </c>
      <c r="Q45" s="59" t="n">
        <v>0.95</v>
      </c>
      <c r="R45" s="57" t="n">
        <v>136635295</v>
      </c>
      <c r="S45" s="59" t="n">
        <f aca="false">IFERROR(IF(G45=0,"",R45/$R$86)*($R$50/SUM($R$21:$R$48)),"")</f>
        <v>0.0127362449003293</v>
      </c>
      <c r="CG45" s="1"/>
      <c r="XFD45" s="5"/>
    </row>
    <row r="46" customFormat="false" ht="12.8" hidden="false" customHeight="false" outlineLevel="0" collapsed="false">
      <c r="B46" s="55" t="s">
        <v>77</v>
      </c>
      <c r="C46" s="55"/>
      <c r="D46" s="55" t="s">
        <v>38</v>
      </c>
      <c r="E46" s="55" t="s">
        <v>68</v>
      </c>
      <c r="F46" s="55"/>
      <c r="G46" s="56" t="n">
        <v>953000000</v>
      </c>
      <c r="H46" s="57" t="n">
        <v>953000000</v>
      </c>
      <c r="I46" s="57" t="n">
        <v>558616198</v>
      </c>
      <c r="J46" s="57" t="n">
        <v>558616198</v>
      </c>
      <c r="K46" s="58" t="n">
        <v>0.405</v>
      </c>
      <c r="L46" s="59" t="n">
        <f aca="false">IFERROR(J46/C7, "")</f>
        <v>0.0448919838690318</v>
      </c>
      <c r="M46" s="59" t="n">
        <v>0.001</v>
      </c>
      <c r="N46" s="60" t="n">
        <v>0.05</v>
      </c>
      <c r="O46" s="61" t="n">
        <v>0</v>
      </c>
      <c r="P46" s="57" t="n">
        <v>558616198</v>
      </c>
      <c r="Q46" s="59" t="n">
        <v>0.95</v>
      </c>
      <c r="R46" s="57" t="n">
        <v>502754578</v>
      </c>
      <c r="S46" s="59" t="n">
        <f aca="false">IFERROR(IF(G46=0,"",R46/$R$86)*($R$50/SUM($R$21:$R$48)),"")</f>
        <v>0.0468634801144881</v>
      </c>
      <c r="CG46" s="1"/>
      <c r="XFD46" s="5"/>
    </row>
    <row r="47" customFormat="false" ht="12.8" hidden="false" customHeight="false" outlineLevel="0" collapsed="false">
      <c r="B47" s="55" t="s">
        <v>78</v>
      </c>
      <c r="C47" s="55"/>
      <c r="D47" s="55" t="s">
        <v>41</v>
      </c>
      <c r="E47" s="55" t="s">
        <v>75</v>
      </c>
      <c r="F47" s="55"/>
      <c r="G47" s="56" t="n">
        <v>508000000</v>
      </c>
      <c r="H47" s="57" t="n">
        <v>508000000</v>
      </c>
      <c r="I47" s="57" t="n">
        <v>297772328</v>
      </c>
      <c r="J47" s="57" t="n">
        <v>297772328</v>
      </c>
      <c r="K47" s="58" t="n">
        <v>0.405</v>
      </c>
      <c r="L47" s="59" t="n">
        <f aca="false">IFERROR(J47/C7, "")</f>
        <v>0.0239298298063674</v>
      </c>
      <c r="M47" s="59" t="n">
        <v>0.001</v>
      </c>
      <c r="N47" s="60" t="n">
        <v>0.07</v>
      </c>
      <c r="O47" s="61" t="n">
        <v>0</v>
      </c>
      <c r="P47" s="57" t="n">
        <v>297772328</v>
      </c>
      <c r="Q47" s="59" t="n">
        <v>0.95</v>
      </c>
      <c r="R47" s="57" t="n">
        <v>267995095</v>
      </c>
      <c r="S47" s="59" t="n">
        <f aca="false">IFERROR(IF(G47=0,"",R47/$R$86)*($R$50/SUM($R$21:$R$48)),"")</f>
        <v>0.0249807428015362</v>
      </c>
      <c r="CG47" s="1"/>
      <c r="XFD47" s="5"/>
    </row>
    <row r="48" customFormat="false" ht="12.8" hidden="false" customHeight="false" outlineLevel="0" collapsed="false">
      <c r="B48" s="55" t="s">
        <v>79</v>
      </c>
      <c r="C48" s="55"/>
      <c r="D48" s="55" t="s">
        <v>59</v>
      </c>
      <c r="E48" s="55" t="s">
        <v>80</v>
      </c>
      <c r="F48" s="55"/>
      <c r="G48" s="56" t="n">
        <v>310000000</v>
      </c>
      <c r="H48" s="57" t="n">
        <v>310000000</v>
      </c>
      <c r="I48" s="57" t="n">
        <v>181711460</v>
      </c>
      <c r="J48" s="57" t="n">
        <v>181711460</v>
      </c>
      <c r="K48" s="58" t="n">
        <v>0.405</v>
      </c>
      <c r="L48" s="59" t="n">
        <f aca="false">IFERROR(J48/C7, "")</f>
        <v>0.0146028488975864</v>
      </c>
      <c r="M48" s="59" t="n">
        <v>0.001</v>
      </c>
      <c r="N48" s="60" t="n">
        <v>0.1</v>
      </c>
      <c r="O48" s="61" t="n">
        <v>0</v>
      </c>
      <c r="P48" s="57" t="n">
        <v>181711460</v>
      </c>
      <c r="Q48" s="59" t="n">
        <v>0.95</v>
      </c>
      <c r="R48" s="57" t="n">
        <v>163540314</v>
      </c>
      <c r="S48" s="59" t="n">
        <f aca="false">IFERROR(IF(G48=0,"",R48/$R$86)*($R$50/SUM($R$21:$R$48)),"")</f>
        <v>0.01524415408318</v>
      </c>
      <c r="CG48" s="1"/>
      <c r="XFD48" s="5"/>
    </row>
    <row r="49" customFormat="false" ht="12.8" hidden="false" customHeight="false" outlineLevel="0" collapsed="false">
      <c r="B49" s="55"/>
      <c r="C49" s="55"/>
      <c r="D49" s="55"/>
      <c r="E49" s="55"/>
      <c r="F49" s="55"/>
      <c r="G49" s="56"/>
      <c r="H49" s="57"/>
      <c r="I49" s="57"/>
      <c r="J49" s="57"/>
      <c r="K49" s="58"/>
      <c r="L49" s="59"/>
      <c r="M49" s="59"/>
      <c r="N49" s="60"/>
      <c r="O49" s="61"/>
      <c r="P49" s="57"/>
      <c r="Q49" s="59"/>
      <c r="R49" s="57"/>
      <c r="S49" s="59"/>
      <c r="CG49" s="1"/>
      <c r="XFD49" s="5"/>
    </row>
    <row r="50" s="68" customFormat="true" ht="12.8" hidden="false" customHeight="false" outlineLevel="0" collapsed="false">
      <c r="A50" s="1"/>
      <c r="B50" s="62" t="s">
        <v>81</v>
      </c>
      <c r="C50" s="62"/>
      <c r="D50" s="62"/>
      <c r="E50" s="62"/>
      <c r="F50" s="62"/>
      <c r="G50" s="63" t="n">
        <f aca="false">SUM(G21:G48)</f>
        <v>12102000000</v>
      </c>
      <c r="H50" s="63" t="n">
        <f aca="false">SUM(H21:H48)</f>
        <v>12102000000</v>
      </c>
      <c r="I50" s="63" t="n">
        <f aca="false">SUM(I21:I48)</f>
        <v>6678559780</v>
      </c>
      <c r="J50" s="63" t="n">
        <f aca="false">SUM(J21:J48)</f>
        <v>6678559780</v>
      </c>
      <c r="K50" s="64"/>
      <c r="L50" s="65" t="n">
        <f aca="false">SUM(L21:L48)</f>
        <v>0.536708027775672</v>
      </c>
      <c r="M50" s="65" t="n">
        <f aca="false">SUM(M21:M48)</f>
        <v>0.102</v>
      </c>
      <c r="N50" s="66" t="n">
        <v>1</v>
      </c>
      <c r="O50" s="67"/>
      <c r="P50" s="63" t="n">
        <f aca="false">SUM(P21:P48)</f>
        <v>6678559780</v>
      </c>
      <c r="Q50" s="66" t="n">
        <v>0.95</v>
      </c>
      <c r="R50" s="63" t="n">
        <f aca="false">SUM(R21:R48)</f>
        <v>6010703803</v>
      </c>
      <c r="S50" s="65" t="n">
        <f aca="false">SUM(S21:S48)</f>
        <v>0.560278335538038</v>
      </c>
    </row>
    <row r="51" customFormat="false" ht="12.8" hidden="false" customHeight="false" outlineLevel="0" collapsed="false">
      <c r="F51" s="1"/>
      <c r="G51" s="69"/>
      <c r="H51" s="69"/>
      <c r="I51" s="2"/>
      <c r="J51" s="2"/>
      <c r="K51" s="70"/>
      <c r="L51" s="3"/>
      <c r="M51" s="3"/>
      <c r="N51" s="71"/>
      <c r="O51" s="72"/>
      <c r="P51" s="2"/>
      <c r="Q51" s="3"/>
      <c r="R51" s="2"/>
      <c r="S51" s="3"/>
      <c r="CG51" s="1"/>
      <c r="XFD51" s="5"/>
    </row>
    <row r="52" customFormat="false" ht="12.8" hidden="false" customHeight="false" outlineLevel="0" collapsed="false">
      <c r="B52" s="73" t="s">
        <v>82</v>
      </c>
      <c r="C52" s="73"/>
      <c r="D52" s="73"/>
      <c r="E52" s="73"/>
      <c r="F52" s="73"/>
      <c r="G52" s="74"/>
      <c r="H52" s="74"/>
      <c r="I52" s="75"/>
      <c r="J52" s="75"/>
      <c r="K52" s="76"/>
      <c r="L52" s="77"/>
      <c r="M52" s="77"/>
      <c r="N52" s="78"/>
      <c r="O52" s="79"/>
      <c r="P52" s="75"/>
      <c r="Q52" s="77"/>
      <c r="R52" s="75"/>
      <c r="S52" s="77"/>
      <c r="CG52" s="1"/>
      <c r="XFD52" s="5"/>
    </row>
    <row r="53" customFormat="false" ht="12.8" hidden="false" customHeight="false" outlineLevel="0" collapsed="false">
      <c r="B53" s="55" t="s">
        <v>83</v>
      </c>
      <c r="C53" s="55" t="s">
        <v>84</v>
      </c>
      <c r="D53" s="55"/>
      <c r="E53" s="55"/>
      <c r="F53" s="80" t="s">
        <v>85</v>
      </c>
      <c r="G53" s="56" t="n">
        <v>800000000</v>
      </c>
      <c r="H53" s="57" t="n">
        <v>800000000</v>
      </c>
      <c r="I53" s="57" t="n">
        <v>468933111</v>
      </c>
      <c r="J53" s="57" t="n">
        <v>468933111</v>
      </c>
      <c r="K53" s="58" t="n">
        <v>0.427</v>
      </c>
      <c r="L53" s="59" t="n">
        <f aca="false">IFERROR(J53/C7, "")</f>
        <v>0.0376847963414532</v>
      </c>
      <c r="M53" s="59" t="n">
        <v>0.084</v>
      </c>
      <c r="N53" s="81" t="n">
        <v>0.1</v>
      </c>
      <c r="O53" s="61" t="n">
        <v>0</v>
      </c>
      <c r="P53" s="57" t="n">
        <v>468933111</v>
      </c>
      <c r="Q53" s="59" t="n">
        <v>0.95</v>
      </c>
      <c r="R53" s="57" t="n">
        <v>422039800</v>
      </c>
      <c r="S53" s="59" t="n">
        <f aca="false">IFERROR(IF(G53=0,"",R53/$R$86)*($R$50/SUM($R$21:$R$48)),"")</f>
        <v>0.0393397785724838</v>
      </c>
      <c r="CG53" s="1"/>
      <c r="XFD53" s="5"/>
    </row>
    <row r="54" customFormat="false" ht="12.8" hidden="false" customHeight="false" outlineLevel="0" collapsed="false">
      <c r="B54" s="55" t="s">
        <v>86</v>
      </c>
      <c r="C54" s="55"/>
      <c r="D54" s="55"/>
      <c r="E54" s="55"/>
      <c r="F54" s="80"/>
      <c r="G54" s="56" t="n">
        <v>700000000</v>
      </c>
      <c r="H54" s="57" t="n">
        <v>700000000</v>
      </c>
      <c r="I54" s="57" t="n">
        <v>410316481</v>
      </c>
      <c r="J54" s="57" t="n">
        <v>410316481</v>
      </c>
      <c r="K54" s="58" t="n">
        <v>0.405</v>
      </c>
      <c r="L54" s="59" t="n">
        <f aca="false">IFERROR(J54/C7, "")</f>
        <v>0.0329741975119917</v>
      </c>
      <c r="M54" s="59" t="n">
        <v>0.049</v>
      </c>
      <c r="N54" s="81" t="n">
        <v>0.12</v>
      </c>
      <c r="O54" s="61" t="n">
        <v>0</v>
      </c>
      <c r="P54" s="57" t="n">
        <v>410316481</v>
      </c>
      <c r="Q54" s="59" t="n">
        <f aca="false">$Q$66</f>
        <v>0.95</v>
      </c>
      <c r="R54" s="57" t="n">
        <v>369284833</v>
      </c>
      <c r="S54" s="59" t="n">
        <f aca="false">IFERROR(IF(G54=0,"",R54/$R$86)*($R$50/SUM($R$21:$R$48)),"")</f>
        <v>0.0344223069966308</v>
      </c>
      <c r="CG54" s="1"/>
      <c r="XFD54" s="5"/>
    </row>
    <row r="55" customFormat="false" ht="12.8" hidden="false" customHeight="false" outlineLevel="0" collapsed="false">
      <c r="B55" s="55" t="s">
        <v>87</v>
      </c>
      <c r="C55" s="55"/>
      <c r="D55" s="55"/>
      <c r="E55" s="55"/>
      <c r="F55" s="80" t="s">
        <v>85</v>
      </c>
      <c r="G55" s="56" t="n">
        <v>500000000</v>
      </c>
      <c r="H55" s="57" t="n">
        <v>500000000</v>
      </c>
      <c r="I55" s="57" t="n">
        <v>293083200</v>
      </c>
      <c r="J55" s="57" t="n">
        <v>293083200</v>
      </c>
      <c r="K55" s="58" t="n">
        <v>0.405</v>
      </c>
      <c r="L55" s="59" t="n">
        <f aca="false">IFERROR(J55/C7, "")</f>
        <v>0.0235529981654492</v>
      </c>
      <c r="M55" s="59" t="n">
        <v>0.039</v>
      </c>
      <c r="N55" s="81" t="n">
        <v>0.07</v>
      </c>
      <c r="O55" s="61" t="n">
        <v>0</v>
      </c>
      <c r="P55" s="57" t="n">
        <v>293083200</v>
      </c>
      <c r="Q55" s="59" t="n">
        <f aca="false">$Q$66</f>
        <v>0.95</v>
      </c>
      <c r="R55" s="57" t="n">
        <v>263774880</v>
      </c>
      <c r="S55" s="59" t="n">
        <f aca="false">IFERROR(IF(G55=0,"",R55/$R$86)*($R$50/SUM($R$21:$R$48)),"")</f>
        <v>0.0245873620738696</v>
      </c>
      <c r="CG55" s="1"/>
      <c r="XFD55" s="5"/>
    </row>
    <row r="56" customFormat="false" ht="12.8" hidden="false" customHeight="false" outlineLevel="0" collapsed="false">
      <c r="B56" s="55" t="s">
        <v>88</v>
      </c>
      <c r="C56" s="55"/>
      <c r="D56" s="55"/>
      <c r="E56" s="55"/>
      <c r="F56" s="80"/>
      <c r="G56" s="56" t="n">
        <v>200000000</v>
      </c>
      <c r="H56" s="57" t="n">
        <v>200000000</v>
      </c>
      <c r="I56" s="57" t="n">
        <v>117233280</v>
      </c>
      <c r="J56" s="57" t="n">
        <v>117233280</v>
      </c>
      <c r="K56" s="58" t="n">
        <v>0.405</v>
      </c>
      <c r="L56" s="59" t="n">
        <f aca="false">IFERROR(J56/C7, "")</f>
        <v>0.00942119926617969</v>
      </c>
      <c r="M56" s="59" t="n">
        <v>0.019</v>
      </c>
      <c r="N56" s="81" t="n">
        <v>0.15</v>
      </c>
      <c r="O56" s="61" t="n">
        <v>0</v>
      </c>
      <c r="P56" s="57" t="n">
        <v>117233280</v>
      </c>
      <c r="Q56" s="59" t="n">
        <f aca="false">$Q$66</f>
        <v>0.95</v>
      </c>
      <c r="R56" s="57" t="n">
        <v>105509952</v>
      </c>
      <c r="S56" s="59" t="n">
        <f aca="false">IFERROR(IF(G56=0,"",R56/$R$86)*($R$50/SUM($R$21:$R$48)),"")</f>
        <v>0.00983494482954783</v>
      </c>
      <c r="CG56" s="1"/>
      <c r="XFD56" s="5"/>
    </row>
    <row r="57" customFormat="false" ht="12.8" hidden="false" customHeight="false" outlineLevel="0" collapsed="false">
      <c r="B57" s="55" t="s">
        <v>89</v>
      </c>
      <c r="C57" s="55"/>
      <c r="D57" s="55"/>
      <c r="E57" s="55"/>
      <c r="F57" s="80" t="s">
        <v>90</v>
      </c>
      <c r="G57" s="56" t="n">
        <v>319436625</v>
      </c>
      <c r="H57" s="57" t="n">
        <v>319436625</v>
      </c>
      <c r="I57" s="57" t="n">
        <v>146693352</v>
      </c>
      <c r="J57" s="57" t="n">
        <v>146693352</v>
      </c>
      <c r="K57" s="58" t="n">
        <v>0.405</v>
      </c>
      <c r="L57" s="59" t="n">
        <f aca="false">IFERROR(J57/C7, "")</f>
        <v>0.0117886943043463</v>
      </c>
      <c r="M57" s="59" t="n">
        <v>0.016</v>
      </c>
      <c r="N57" s="81" t="n">
        <v>0.1</v>
      </c>
      <c r="O57" s="61" t="n">
        <v>0</v>
      </c>
      <c r="P57" s="57" t="n">
        <v>146693352</v>
      </c>
      <c r="Q57" s="59" t="n">
        <f aca="false">$Q$66</f>
        <v>0.95</v>
      </c>
      <c r="R57" s="57" t="n">
        <v>132024017</v>
      </c>
      <c r="S57" s="59" t="n">
        <f aca="false">IFERROR(IF(G57=0,"",R57/$R$86)*($R$50/SUM($R$21:$R$48)),"")</f>
        <v>0.012306411847958</v>
      </c>
      <c r="CG57" s="1"/>
      <c r="XFD57" s="5"/>
    </row>
    <row r="58" customFormat="false" ht="12.8" hidden="false" customHeight="false" outlineLevel="0" collapsed="false">
      <c r="B58" s="55" t="s">
        <v>91</v>
      </c>
      <c r="C58" s="55"/>
      <c r="D58" s="55"/>
      <c r="E58" s="55"/>
      <c r="F58" s="80" t="s">
        <v>85</v>
      </c>
      <c r="G58" s="56" t="n">
        <v>248000000</v>
      </c>
      <c r="H58" s="57" t="n">
        <v>248000000</v>
      </c>
      <c r="I58" s="57" t="n">
        <v>145369168</v>
      </c>
      <c r="J58" s="57" t="n">
        <v>145369168</v>
      </c>
      <c r="K58" s="58" t="n">
        <v>0.405</v>
      </c>
      <c r="L58" s="59" t="n">
        <f aca="false">IFERROR(J58/C7, "")</f>
        <v>0.0116822791180691</v>
      </c>
      <c r="M58" s="59" t="n">
        <v>0.01</v>
      </c>
      <c r="N58" s="81" t="n">
        <v>0.15</v>
      </c>
      <c r="O58" s="61" t="n">
        <v>0</v>
      </c>
      <c r="P58" s="57" t="n">
        <v>145369168</v>
      </c>
      <c r="Q58" s="59" t="n">
        <f aca="false">$Q$66</f>
        <v>0.95</v>
      </c>
      <c r="R58" s="57" t="n">
        <v>130832251</v>
      </c>
      <c r="S58" s="59" t="n">
        <f aca="false">IFERROR(IF(G58=0,"",R58/$R$86)*($R$50/SUM($R$21:$R$48)),"")</f>
        <v>0.0121953232479013</v>
      </c>
      <c r="CG58" s="1"/>
      <c r="XFD58" s="5"/>
    </row>
    <row r="59" customFormat="false" ht="12.8" hidden="false" customHeight="false" outlineLevel="0" collapsed="false">
      <c r="B59" s="55" t="s">
        <v>92</v>
      </c>
      <c r="C59" s="55"/>
      <c r="D59" s="55"/>
      <c r="E59" s="55"/>
      <c r="F59" s="80" t="s">
        <v>93</v>
      </c>
      <c r="G59" s="56" t="n">
        <v>198000000</v>
      </c>
      <c r="H59" s="57" t="n">
        <v>198000000</v>
      </c>
      <c r="I59" s="57" t="n">
        <v>90926550</v>
      </c>
      <c r="J59" s="57" t="n">
        <v>90926550</v>
      </c>
      <c r="K59" s="58" t="n">
        <v>0.405</v>
      </c>
      <c r="L59" s="59" t="n">
        <f aca="false">IFERROR(J59/C7, "")</f>
        <v>0.00730711574508749</v>
      </c>
      <c r="M59" s="59" t="n">
        <v>0.007</v>
      </c>
      <c r="N59" s="81" t="n">
        <v>0.1</v>
      </c>
      <c r="O59" s="61" t="n">
        <v>0</v>
      </c>
      <c r="P59" s="57" t="n">
        <v>90926550</v>
      </c>
      <c r="Q59" s="59" t="n">
        <f aca="false">$Q$66</f>
        <v>0.95</v>
      </c>
      <c r="R59" s="57" t="n">
        <v>81833895</v>
      </c>
      <c r="S59" s="59" t="n">
        <f aca="false">IFERROR(IF(G59=0,"",R59/$R$86)*($R$50/SUM($R$21:$R$48)),"")</f>
        <v>0.00762801827937529</v>
      </c>
      <c r="CG59" s="1"/>
      <c r="XFD59" s="5"/>
    </row>
    <row r="60" customFormat="false" ht="12.8" hidden="false" customHeight="false" outlineLevel="0" collapsed="false">
      <c r="B60" s="55" t="s">
        <v>94</v>
      </c>
      <c r="C60" s="55"/>
      <c r="D60" s="55"/>
      <c r="E60" s="55"/>
      <c r="F60" s="80" t="s">
        <v>93</v>
      </c>
      <c r="G60" s="56" t="n">
        <v>878000000</v>
      </c>
      <c r="H60" s="57" t="n">
        <v>878000000</v>
      </c>
      <c r="I60" s="57" t="n">
        <v>403199550</v>
      </c>
      <c r="J60" s="57" t="n">
        <v>403199550</v>
      </c>
      <c r="K60" s="58" t="n">
        <v>0.405</v>
      </c>
      <c r="L60" s="59" t="n">
        <f aca="false">IFERROR(J60/C7, "")</f>
        <v>0.0324022607282162</v>
      </c>
      <c r="M60" s="59" t="n">
        <v>0.005</v>
      </c>
      <c r="N60" s="81" t="n">
        <v>0.05</v>
      </c>
      <c r="O60" s="61" t="n">
        <v>0</v>
      </c>
      <c r="P60" s="57" t="n">
        <v>403199550</v>
      </c>
      <c r="Q60" s="59" t="n">
        <f aca="false">$Q$66</f>
        <v>0.95</v>
      </c>
      <c r="R60" s="57" t="n">
        <v>362879595</v>
      </c>
      <c r="S60" s="59" t="n">
        <f aca="false">IFERROR(IF(G60=0,"",R60/$R$86)*($R$50/SUM($R$21:$R$48)),"")</f>
        <v>0.0338252527741995</v>
      </c>
      <c r="CG60" s="1"/>
      <c r="XFD60" s="5"/>
    </row>
    <row r="61" customFormat="false" ht="12.8" hidden="false" customHeight="false" outlineLevel="0" collapsed="false">
      <c r="B61" s="55" t="s">
        <v>95</v>
      </c>
      <c r="C61" s="55"/>
      <c r="D61" s="55"/>
      <c r="E61" s="55"/>
      <c r="F61" s="80" t="s">
        <v>93</v>
      </c>
      <c r="G61" s="56" t="n">
        <v>114000000</v>
      </c>
      <c r="H61" s="57" t="n">
        <v>114000000</v>
      </c>
      <c r="I61" s="57" t="n">
        <v>66822924</v>
      </c>
      <c r="J61" s="57" t="n">
        <v>66822924</v>
      </c>
      <c r="K61" s="58" t="n">
        <v>0.405</v>
      </c>
      <c r="L61" s="59" t="n">
        <f aca="false">IFERROR(J61/C7, "")</f>
        <v>0.00537007991717694</v>
      </c>
      <c r="M61" s="59" t="n">
        <v>0.003</v>
      </c>
      <c r="N61" s="81" t="n">
        <v>0.15</v>
      </c>
      <c r="O61" s="61" t="n">
        <v>0</v>
      </c>
      <c r="P61" s="57" t="n">
        <v>66822924</v>
      </c>
      <c r="Q61" s="59" t="n">
        <f aca="false">$Q$66</f>
        <v>0.95</v>
      </c>
      <c r="R61" s="57" t="n">
        <v>60140632</v>
      </c>
      <c r="S61" s="59" t="n">
        <f aca="false">IFERROR(IF(G61=0,"",R61/$R$86)*($R$50/SUM($R$21:$R$48)),"")</f>
        <v>0.00560591476464835</v>
      </c>
      <c r="CG61" s="1"/>
      <c r="XFD61" s="5"/>
    </row>
    <row r="62" customFormat="false" ht="12.8" hidden="false" customHeight="false" outlineLevel="0" collapsed="false">
      <c r="B62" s="55" t="s">
        <v>96</v>
      </c>
      <c r="C62" s="55"/>
      <c r="D62" s="55"/>
      <c r="E62" s="55"/>
      <c r="F62" s="80" t="s">
        <v>93</v>
      </c>
      <c r="G62" s="56" t="n">
        <v>260000000</v>
      </c>
      <c r="H62" s="57" t="n">
        <v>260000000</v>
      </c>
      <c r="I62" s="57" t="n">
        <v>119398500</v>
      </c>
      <c r="J62" s="57" t="n">
        <v>119398500</v>
      </c>
      <c r="K62" s="58" t="n">
        <v>0.405</v>
      </c>
      <c r="L62" s="59" t="n">
        <f aca="false">IFERROR(J62/C7, "")</f>
        <v>0.00959520249354923</v>
      </c>
      <c r="M62" s="59" t="n">
        <v>0.002</v>
      </c>
      <c r="N62" s="81" t="n">
        <v>0.07</v>
      </c>
      <c r="O62" s="61" t="n">
        <v>0</v>
      </c>
      <c r="P62" s="57" t="n">
        <v>119398500</v>
      </c>
      <c r="Q62" s="59" t="n">
        <f aca="false">$Q$66</f>
        <v>0.95</v>
      </c>
      <c r="R62" s="57" t="n">
        <v>107458650</v>
      </c>
      <c r="S62" s="59" t="n">
        <f aca="false">IFERROR(IF(G62=0,"",R62/$R$86)*($R$50/SUM($R$21:$R$48)),"")</f>
        <v>0.0100165896597857</v>
      </c>
      <c r="CG62" s="1"/>
      <c r="XFD62" s="5"/>
    </row>
    <row r="63" customFormat="false" ht="12.8" hidden="false" customHeight="false" outlineLevel="0" collapsed="false">
      <c r="B63" s="55" t="s">
        <v>97</v>
      </c>
      <c r="C63" s="55"/>
      <c r="D63" s="55"/>
      <c r="E63" s="55"/>
      <c r="F63" s="80" t="s">
        <v>93</v>
      </c>
      <c r="G63" s="56" t="n">
        <v>976000000</v>
      </c>
      <c r="H63" s="57" t="n">
        <v>976000000</v>
      </c>
      <c r="I63" s="57" t="n">
        <v>448203600</v>
      </c>
      <c r="J63" s="57" t="n">
        <v>448203600</v>
      </c>
      <c r="K63" s="58" t="n">
        <v>0.405</v>
      </c>
      <c r="L63" s="59" t="n">
        <f aca="false">IFERROR(J63/C7, "")</f>
        <v>0.0360189139757848</v>
      </c>
      <c r="M63" s="59" t="n">
        <v>0.001</v>
      </c>
      <c r="N63" s="81" t="n">
        <v>0.05</v>
      </c>
      <c r="O63" s="61" t="n">
        <v>0</v>
      </c>
      <c r="P63" s="57" t="n">
        <v>448203600</v>
      </c>
      <c r="Q63" s="59" t="n">
        <f aca="false">$Q$66</f>
        <v>0.95</v>
      </c>
      <c r="R63" s="57" t="n">
        <v>403383240</v>
      </c>
      <c r="S63" s="59" t="n">
        <f aca="false">IFERROR(IF(G63=0,"",R63/$R$86)*($R$50/SUM($R$21:$R$48)),"")</f>
        <v>0.0376007365690418</v>
      </c>
      <c r="CG63" s="1"/>
      <c r="XFD63" s="5"/>
    </row>
    <row r="64" customFormat="false" ht="12.8" hidden="false" customHeight="false" outlineLevel="0" collapsed="false">
      <c r="B64" s="55" t="s">
        <v>98</v>
      </c>
      <c r="C64" s="55"/>
      <c r="D64" s="55"/>
      <c r="E64" s="55"/>
      <c r="F64" s="80" t="s">
        <v>93</v>
      </c>
      <c r="G64" s="56" t="n">
        <v>461000000</v>
      </c>
      <c r="H64" s="57" t="n">
        <v>461000000</v>
      </c>
      <c r="I64" s="57" t="n">
        <v>270222526</v>
      </c>
      <c r="J64" s="57" t="n">
        <v>270222526</v>
      </c>
      <c r="K64" s="58" t="n">
        <v>0.405</v>
      </c>
      <c r="L64" s="59" t="n">
        <f aca="false">IFERROR(J64/C7, "")</f>
        <v>0.0217158494896366</v>
      </c>
      <c r="M64" s="59" t="n">
        <v>0.001</v>
      </c>
      <c r="N64" s="81" t="n">
        <v>0.05</v>
      </c>
      <c r="O64" s="61" t="n">
        <v>0</v>
      </c>
      <c r="P64" s="57" t="n">
        <v>270222526</v>
      </c>
      <c r="Q64" s="59" t="n">
        <f aca="false">$Q$66</f>
        <v>0.95</v>
      </c>
      <c r="R64" s="57" t="n">
        <v>243200273</v>
      </c>
      <c r="S64" s="59" t="n">
        <f aca="false">IFERROR(IF(G64=0,"",R64/$R$86)*($R$50/SUM($R$21:$R$48)),"")</f>
        <v>0.022669532325121</v>
      </c>
      <c r="CG64" s="1"/>
      <c r="XFD64" s="5"/>
    </row>
    <row r="65" customFormat="false" ht="12.8" hidden="false" customHeight="false" outlineLevel="0" collapsed="false">
      <c r="B65" s="55"/>
      <c r="C65" s="55"/>
      <c r="D65" s="55"/>
      <c r="E65" s="55"/>
      <c r="F65" s="80"/>
      <c r="G65" s="56"/>
      <c r="H65" s="56"/>
      <c r="I65" s="57"/>
      <c r="J65" s="57"/>
      <c r="K65" s="58"/>
      <c r="L65" s="59"/>
      <c r="M65" s="59"/>
      <c r="N65" s="82"/>
      <c r="O65" s="61"/>
      <c r="P65" s="57"/>
      <c r="Q65" s="59"/>
      <c r="R65" s="57"/>
      <c r="S65" s="59"/>
      <c r="CG65" s="1"/>
      <c r="XFD65" s="5"/>
    </row>
    <row r="66" s="68" customFormat="true" ht="12.8" hidden="false" customHeight="false" outlineLevel="0" collapsed="false">
      <c r="A66" s="1"/>
      <c r="B66" s="62" t="s">
        <v>99</v>
      </c>
      <c r="C66" s="62"/>
      <c r="D66" s="62"/>
      <c r="E66" s="62"/>
      <c r="F66" s="62"/>
      <c r="G66" s="63" t="n">
        <f aca="false">SUM(G53:G64)</f>
        <v>5654436625</v>
      </c>
      <c r="H66" s="63" t="n">
        <f aca="false">SUM(H53:H64)</f>
        <v>5654436625</v>
      </c>
      <c r="I66" s="63" t="n">
        <f aca="false">SUM(I53:I64)</f>
        <v>2980402242</v>
      </c>
      <c r="J66" s="63" t="n">
        <f aca="false">SUM(J53:J64)</f>
        <v>2980402242</v>
      </c>
      <c r="K66" s="64"/>
      <c r="L66" s="65" t="n">
        <f aca="false">SUM(L53:L64)</f>
        <v>0.239513587056941</v>
      </c>
      <c r="M66" s="65" t="n">
        <f aca="false">SUM(M53:M64)</f>
        <v>0.236</v>
      </c>
      <c r="N66" s="66" t="n">
        <v>1</v>
      </c>
      <c r="O66" s="67"/>
      <c r="P66" s="63" t="n">
        <f aca="false">SUM(P53:P64)</f>
        <v>2980402242</v>
      </c>
      <c r="Q66" s="66" t="n">
        <v>0.95</v>
      </c>
      <c r="R66" s="63" t="n">
        <f aca="false">SUM(R53:R64)</f>
        <v>2682362018</v>
      </c>
      <c r="S66" s="65" t="n">
        <f aca="false">SUM(S53:S64)</f>
        <v>0.250032171940563</v>
      </c>
    </row>
    <row r="67" customFormat="false" ht="12.8" hidden="false" customHeight="false" outlineLevel="0" collapsed="false">
      <c r="F67" s="1"/>
      <c r="G67" s="69"/>
      <c r="H67" s="69"/>
      <c r="I67" s="2"/>
      <c r="J67" s="2"/>
      <c r="K67" s="70"/>
      <c r="L67" s="3"/>
      <c r="M67" s="3"/>
      <c r="N67" s="71"/>
      <c r="O67" s="72"/>
      <c r="P67" s="2"/>
      <c r="Q67" s="3"/>
      <c r="R67" s="2"/>
      <c r="S67" s="3"/>
      <c r="CG67" s="1"/>
      <c r="XFD67" s="5"/>
    </row>
    <row r="68" customFormat="false" ht="12.8" hidden="false" customHeight="false" outlineLevel="0" collapsed="false">
      <c r="B68" s="83" t="s">
        <v>100</v>
      </c>
      <c r="C68" s="73"/>
      <c r="D68" s="73"/>
      <c r="E68" s="73"/>
      <c r="F68" s="73"/>
      <c r="G68" s="74"/>
      <c r="H68" s="74"/>
      <c r="I68" s="75"/>
      <c r="J68" s="75"/>
      <c r="K68" s="76"/>
      <c r="L68" s="77"/>
      <c r="M68" s="77"/>
      <c r="N68" s="78"/>
      <c r="O68" s="79"/>
      <c r="P68" s="75"/>
      <c r="Q68" s="77"/>
      <c r="R68" s="75"/>
      <c r="S68" s="77"/>
      <c r="CG68" s="1"/>
      <c r="XFD68" s="5"/>
    </row>
    <row r="69" customFormat="false" ht="12.8" hidden="false" customHeight="false" outlineLevel="0" collapsed="false">
      <c r="B69" s="55" t="s">
        <v>101</v>
      </c>
      <c r="C69" s="55" t="s">
        <v>102</v>
      </c>
      <c r="D69" s="55"/>
      <c r="E69" s="55"/>
      <c r="F69" s="55"/>
      <c r="G69" s="56" t="n">
        <v>1930000000</v>
      </c>
      <c r="H69" s="56" t="n">
        <v>1930000000</v>
      </c>
      <c r="I69" s="57" t="n">
        <v>113130115</v>
      </c>
      <c r="J69" s="57" t="n">
        <v>113130115</v>
      </c>
      <c r="K69" s="58" t="n">
        <v>0.405</v>
      </c>
      <c r="L69" s="59" t="n">
        <f aca="false">IFERROR(J69/C7, "")</f>
        <v>0.00909145727579083</v>
      </c>
      <c r="M69" s="59" t="n">
        <v>0.103</v>
      </c>
      <c r="N69" s="81" t="n">
        <v>0.05</v>
      </c>
      <c r="O69" s="61" t="n">
        <v>0</v>
      </c>
      <c r="P69" s="57" t="n">
        <v>113130115</v>
      </c>
      <c r="Q69" s="59" t="n">
        <v>0.75</v>
      </c>
      <c r="R69" s="57" t="n">
        <v>84847586</v>
      </c>
      <c r="S69" s="59" t="n">
        <f aca="false">IFERROR(IF(G69=0,"",R69/$R$86)*($R$50/SUM($R$21:$R$48)),"")</f>
        <v>0.00790893476314267</v>
      </c>
      <c r="CG69" s="1"/>
      <c r="XFD69" s="5"/>
    </row>
    <row r="70" customFormat="false" ht="12.8" hidden="false" customHeight="false" outlineLevel="0" collapsed="false">
      <c r="B70" s="55" t="s">
        <v>103</v>
      </c>
      <c r="C70" s="55" t="s">
        <v>102</v>
      </c>
      <c r="D70" s="55"/>
      <c r="E70" s="55"/>
      <c r="F70" s="55"/>
      <c r="G70" s="56" t="n">
        <v>417000000</v>
      </c>
      <c r="H70" s="56" t="n">
        <v>417000000</v>
      </c>
      <c r="I70" s="57" t="n">
        <v>121336445</v>
      </c>
      <c r="J70" s="57" t="n">
        <v>121336445</v>
      </c>
      <c r="K70" s="58" t="n">
        <v>0.405</v>
      </c>
      <c r="L70" s="59" t="n">
        <f aca="false">IFERROR(J70/C7, "")</f>
        <v>0.00975094125656854</v>
      </c>
      <c r="M70" s="59" t="n">
        <v>0.041</v>
      </c>
      <c r="N70" s="81" t="n">
        <v>0.05</v>
      </c>
      <c r="O70" s="61" t="n">
        <v>0</v>
      </c>
      <c r="P70" s="57" t="n">
        <v>121336445</v>
      </c>
      <c r="Q70" s="59" t="n">
        <v>0.75</v>
      </c>
      <c r="R70" s="57" t="n">
        <v>91002334</v>
      </c>
      <c r="S70" s="59" t="n">
        <f aca="false">IFERROR(IF(G70=0,"",R70/$R$86)*($R$50/SUM($R$21:$R$48)),"")</f>
        <v>0.00848263995277037</v>
      </c>
      <c r="CG70" s="1"/>
      <c r="XFD70" s="5"/>
    </row>
    <row r="71" customFormat="false" ht="12.8" hidden="false" customHeight="false" outlineLevel="0" collapsed="false">
      <c r="B71" s="55" t="s">
        <v>104</v>
      </c>
      <c r="C71" s="55"/>
      <c r="D71" s="55"/>
      <c r="E71" s="55"/>
      <c r="F71" s="55"/>
      <c r="G71" s="56" t="n">
        <v>537000000</v>
      </c>
      <c r="H71" s="56" t="n">
        <v>537000000</v>
      </c>
      <c r="I71" s="57" t="n">
        <v>314771142</v>
      </c>
      <c r="J71" s="57" t="n">
        <v>314771142</v>
      </c>
      <c r="K71" s="58" t="n">
        <v>0.172</v>
      </c>
      <c r="L71" s="59" t="n">
        <f aca="false">IFERROR(J71/C7, "")</f>
        <v>0.0252959027677545</v>
      </c>
      <c r="M71" s="59" t="n">
        <v>0.039</v>
      </c>
      <c r="N71" s="81" t="n">
        <v>0.05</v>
      </c>
      <c r="O71" s="61" t="n">
        <v>0</v>
      </c>
      <c r="P71" s="57" t="n">
        <v>314771142</v>
      </c>
      <c r="Q71" s="59" t="n">
        <v>0.75</v>
      </c>
      <c r="R71" s="57" t="n">
        <v>236078356</v>
      </c>
      <c r="S71" s="59" t="n">
        <f aca="false">IFERROR(IF(G71=0,"",R71/$R$86)*($R$50/SUM($R$21:$R$48)),"")</f>
        <v>0.0220056739928225</v>
      </c>
      <c r="CG71" s="1"/>
      <c r="XFD71" s="5"/>
    </row>
    <row r="72" customFormat="false" ht="12.8" hidden="false" customHeight="false" outlineLevel="0" collapsed="false">
      <c r="B72" s="55" t="s">
        <v>105</v>
      </c>
      <c r="C72" s="55" t="s">
        <v>84</v>
      </c>
      <c r="D72" s="55"/>
      <c r="E72" s="55"/>
      <c r="F72" s="55"/>
      <c r="G72" s="56" t="n">
        <v>367000000</v>
      </c>
      <c r="H72" s="56" t="n">
        <v>367000000</v>
      </c>
      <c r="I72" s="57" t="n">
        <v>215122922</v>
      </c>
      <c r="J72" s="57" t="n">
        <v>215122922</v>
      </c>
      <c r="K72" s="58" t="n">
        <v>0.405</v>
      </c>
      <c r="L72" s="59" t="n">
        <f aca="false">IFERROR(J72/C7, "")</f>
        <v>0.0172878888561749</v>
      </c>
      <c r="M72" s="59" t="n">
        <v>0.029</v>
      </c>
      <c r="N72" s="81" t="n">
        <v>0.05</v>
      </c>
      <c r="O72" s="61" t="n">
        <v>0</v>
      </c>
      <c r="P72" s="57" t="n">
        <v>215122922</v>
      </c>
      <c r="Q72" s="59" t="n">
        <v>0.75</v>
      </c>
      <c r="R72" s="57" t="n">
        <v>161342192</v>
      </c>
      <c r="S72" s="59" t="n">
        <f aca="false">IFERROR(IF(G72=0,"",R72/$R$86)*($R$50/SUM($R$21:$R$48)),"")</f>
        <v>0.015039259585658</v>
      </c>
      <c r="CG72" s="1"/>
      <c r="XFD72" s="5"/>
    </row>
    <row r="73" customFormat="false" ht="12.8" hidden="false" customHeight="false" outlineLevel="0" collapsed="false">
      <c r="B73" s="55" t="s">
        <v>106</v>
      </c>
      <c r="C73" s="55"/>
      <c r="D73" s="55"/>
      <c r="E73" s="55"/>
      <c r="F73" s="55"/>
      <c r="G73" s="56" t="n">
        <v>396000000</v>
      </c>
      <c r="H73" s="56" t="n">
        <v>396000000</v>
      </c>
      <c r="I73" s="57" t="n">
        <v>232121736</v>
      </c>
      <c r="J73" s="57" t="n">
        <v>232121736</v>
      </c>
      <c r="K73" s="58" t="n">
        <v>0.205</v>
      </c>
      <c r="L73" s="59" t="n">
        <f aca="false">IFERROR(J73/C7, "")</f>
        <v>0.018653961817562</v>
      </c>
      <c r="M73" s="59" t="n">
        <v>0.024</v>
      </c>
      <c r="N73" s="81" t="n">
        <v>0.05</v>
      </c>
      <c r="O73" s="61" t="n">
        <v>0</v>
      </c>
      <c r="P73" s="57" t="n">
        <v>232121736</v>
      </c>
      <c r="Q73" s="59" t="n">
        <v>0.75</v>
      </c>
      <c r="R73" s="57" t="n">
        <v>174091302</v>
      </c>
      <c r="S73" s="59" t="n">
        <f aca="false">IFERROR(IF(G73=0,"",R73/$R$86)*($R$50/SUM($R$21:$R$48)),"")</f>
        <v>0.0162276478949981</v>
      </c>
      <c r="CG73" s="1"/>
      <c r="XFD73" s="5"/>
    </row>
    <row r="74" customFormat="false" ht="12.8" hidden="false" customHeight="false" outlineLevel="0" collapsed="false">
      <c r="B74" s="55" t="s">
        <v>107</v>
      </c>
      <c r="C74" s="55"/>
      <c r="D74" s="55"/>
      <c r="E74" s="55"/>
      <c r="F74" s="55"/>
      <c r="G74" s="56" t="n">
        <v>227000000</v>
      </c>
      <c r="H74" s="56" t="n">
        <v>227000000</v>
      </c>
      <c r="I74" s="57" t="n">
        <v>133059682</v>
      </c>
      <c r="J74" s="57" t="n">
        <v>133059682</v>
      </c>
      <c r="K74" s="58" t="n">
        <v>0.405</v>
      </c>
      <c r="L74" s="59" t="n">
        <f aca="false">IFERROR(J74/C7, "")</f>
        <v>0.0106930538701681</v>
      </c>
      <c r="M74" s="59" t="n">
        <v>0.021</v>
      </c>
      <c r="N74" s="81" t="n">
        <v>0.05</v>
      </c>
      <c r="O74" s="61" t="n">
        <v>0</v>
      </c>
      <c r="P74" s="57" t="n">
        <v>133059682</v>
      </c>
      <c r="Q74" s="59" t="n">
        <v>0.75</v>
      </c>
      <c r="R74" s="57" t="n">
        <v>99794762</v>
      </c>
      <c r="S74" s="59" t="n">
        <f aca="false">IFERROR(IF(G74=0,"",R74/$R$86)*($R$50/SUM($R$21:$R$48)),"")</f>
        <v>0.00930221235005259</v>
      </c>
      <c r="CG74" s="1"/>
      <c r="XFD74" s="5"/>
    </row>
    <row r="75" customFormat="false" ht="12.8" hidden="false" customHeight="false" outlineLevel="0" collapsed="false">
      <c r="B75" s="55" t="s">
        <v>108</v>
      </c>
      <c r="C75" s="55" t="s">
        <v>109</v>
      </c>
      <c r="D75" s="55"/>
      <c r="E75" s="55"/>
      <c r="F75" s="55"/>
      <c r="G75" s="56" t="n">
        <v>94000000</v>
      </c>
      <c r="H75" s="56" t="n">
        <v>94000000</v>
      </c>
      <c r="I75" s="57" t="n">
        <v>55099604</v>
      </c>
      <c r="J75" s="57" t="n">
        <v>55099604</v>
      </c>
      <c r="K75" s="58" t="n">
        <v>0.405</v>
      </c>
      <c r="L75" s="59" t="n">
        <f aca="false">IFERROR(J75/C7, "")</f>
        <v>0.00442796063346169</v>
      </c>
      <c r="M75" s="59" t="n">
        <v>0.019</v>
      </c>
      <c r="N75" s="81" t="n">
        <v>0.05</v>
      </c>
      <c r="O75" s="61" t="n">
        <v>0</v>
      </c>
      <c r="P75" s="57" t="n">
        <v>55099604</v>
      </c>
      <c r="Q75" s="59" t="n">
        <v>0.75</v>
      </c>
      <c r="R75" s="57" t="n">
        <v>41324703</v>
      </c>
      <c r="S75" s="59" t="n">
        <f aca="false">IFERROR(IF(G75=0,"",R75/$R$86)*($R$50/SUM($R$21:$R$48)),"")</f>
        <v>0.00385201742962076</v>
      </c>
      <c r="CG75" s="1"/>
      <c r="XFD75" s="5"/>
    </row>
    <row r="76" customFormat="false" ht="12.8" hidden="false" customHeight="false" outlineLevel="0" collapsed="false">
      <c r="B76" s="55" t="s">
        <v>110</v>
      </c>
      <c r="C76" s="55"/>
      <c r="D76" s="55"/>
      <c r="E76" s="55"/>
      <c r="F76" s="55"/>
      <c r="G76" s="56" t="n">
        <v>563000000</v>
      </c>
      <c r="H76" s="56" t="n">
        <v>563000000</v>
      </c>
      <c r="I76" s="57" t="n">
        <v>258543675</v>
      </c>
      <c r="J76" s="57" t="n">
        <v>258543675</v>
      </c>
      <c r="K76" s="58" t="n">
        <v>0.405</v>
      </c>
      <c r="L76" s="59" t="n">
        <f aca="false">IFERROR(J76/C7, "")</f>
        <v>0.0207773038610316</v>
      </c>
      <c r="M76" s="59" t="n">
        <v>0.015</v>
      </c>
      <c r="N76" s="81" t="n">
        <v>0.05</v>
      </c>
      <c r="O76" s="61" t="n">
        <v>0</v>
      </c>
      <c r="P76" s="57" t="n">
        <v>258543675</v>
      </c>
      <c r="Q76" s="59" t="n">
        <v>0.75</v>
      </c>
      <c r="R76" s="57" t="n">
        <v>193907756</v>
      </c>
      <c r="S76" s="59" t="n">
        <f aca="false">IFERROR(IF(G76=0,"",R76/$R$86)*($R$50/SUM($R$21:$R$48)),"")</f>
        <v>0.0180748075999639</v>
      </c>
      <c r="CG76" s="1"/>
      <c r="XFD76" s="5"/>
    </row>
    <row r="77" customFormat="false" ht="12.8" hidden="false" customHeight="false" outlineLevel="0" collapsed="false">
      <c r="B77" s="55" t="s">
        <v>111</v>
      </c>
      <c r="C77" s="55" t="s">
        <v>112</v>
      </c>
      <c r="D77" s="55"/>
      <c r="E77" s="55"/>
      <c r="F77" s="55"/>
      <c r="G77" s="56" t="n">
        <v>523000000</v>
      </c>
      <c r="H77" s="56" t="n">
        <v>523000000</v>
      </c>
      <c r="I77" s="57" t="n">
        <v>240174675</v>
      </c>
      <c r="J77" s="57" t="n">
        <v>240174675</v>
      </c>
      <c r="K77" s="58" t="n">
        <v>0.405</v>
      </c>
      <c r="L77" s="59" t="n">
        <f aca="false">IFERROR(J77/C7, "")</f>
        <v>0.019301118862024</v>
      </c>
      <c r="M77" s="59" t="n">
        <v>0.015</v>
      </c>
      <c r="N77" s="81" t="n">
        <v>0.05</v>
      </c>
      <c r="O77" s="61" t="n">
        <v>0</v>
      </c>
      <c r="P77" s="57" t="n">
        <v>240174675</v>
      </c>
      <c r="Q77" s="59" t="n">
        <v>0.75</v>
      </c>
      <c r="R77" s="57" t="n">
        <v>180131006</v>
      </c>
      <c r="S77" s="59" t="n">
        <f aca="false">IFERROR(IF(G77=0,"",R77/$R$86)*($R$50/SUM($R$21:$R$48)),"")</f>
        <v>0.0167906294384529</v>
      </c>
      <c r="CG77" s="1"/>
      <c r="XFD77" s="5"/>
    </row>
    <row r="78" customFormat="false" ht="12.8" hidden="false" customHeight="false" outlineLevel="0" collapsed="false">
      <c r="B78" s="55" t="s">
        <v>113</v>
      </c>
      <c r="C78" s="55" t="s">
        <v>114</v>
      </c>
      <c r="D78" s="55"/>
      <c r="E78" s="55"/>
      <c r="F78" s="55"/>
      <c r="G78" s="56" t="n">
        <v>278000000</v>
      </c>
      <c r="H78" s="56" t="n">
        <v>278000000</v>
      </c>
      <c r="I78" s="57" t="n">
        <v>127664550</v>
      </c>
      <c r="J78" s="57" t="n">
        <v>127664550</v>
      </c>
      <c r="K78" s="58" t="n">
        <v>0.172</v>
      </c>
      <c r="L78" s="59" t="n">
        <f aca="false">IFERROR(J78/C7, "")</f>
        <v>0.0102594857431026</v>
      </c>
      <c r="M78" s="59" t="n">
        <v>0.01</v>
      </c>
      <c r="N78" s="81" t="n">
        <v>0.05</v>
      </c>
      <c r="O78" s="61" t="n">
        <f aca="false">IF(N78="","",IF(L78&gt;N78,(L78-N78)*$C$6,0))</f>
        <v>0</v>
      </c>
      <c r="P78" s="57" t="n">
        <v>127664550</v>
      </c>
      <c r="Q78" s="59" t="n">
        <v>0.75</v>
      </c>
      <c r="R78" s="57" t="n">
        <v>95748412</v>
      </c>
      <c r="S78" s="59" t="n">
        <f aca="false">IFERROR(IF(G78=0,"",R78/$R$86)*($R$50/SUM($R$21:$R$48)),"")</f>
        <v>0.00892503817589468</v>
      </c>
      <c r="CG78" s="1"/>
      <c r="XFD78" s="5"/>
    </row>
    <row r="79" customFormat="false" ht="12.8" hidden="false" customHeight="false" outlineLevel="0" collapsed="false">
      <c r="B79" s="55" t="s">
        <v>115</v>
      </c>
      <c r="C79" s="55" t="s">
        <v>112</v>
      </c>
      <c r="D79" s="55"/>
      <c r="E79" s="55"/>
      <c r="F79" s="55"/>
      <c r="G79" s="56" t="n">
        <v>519000000</v>
      </c>
      <c r="H79" s="56" t="n">
        <v>519000000</v>
      </c>
      <c r="I79" s="57" t="n">
        <v>304220154</v>
      </c>
      <c r="J79" s="57" t="n">
        <v>304220154</v>
      </c>
      <c r="K79" s="58" t="n">
        <v>0.405</v>
      </c>
      <c r="L79" s="59" t="n">
        <f aca="false">IFERROR(J79/C7, "")</f>
        <v>0.0244479954124108</v>
      </c>
      <c r="M79" s="59" t="n">
        <v>0.01</v>
      </c>
      <c r="N79" s="81" t="n">
        <v>0.05</v>
      </c>
      <c r="O79" s="61" t="n">
        <f aca="false">IF(N79="","",IF(L79&gt;N79,(L79-N79)*$C$6,0))</f>
        <v>0</v>
      </c>
      <c r="P79" s="57" t="n">
        <v>304220154</v>
      </c>
      <c r="Q79" s="59" t="n">
        <v>0.75</v>
      </c>
      <c r="R79" s="57" t="n">
        <v>228165116</v>
      </c>
      <c r="S79" s="59" t="n">
        <f aca="false">IFERROR(IF(G79=0,"",R79/$R$86)*($R$50/SUM($R$21:$R$48)),"")</f>
        <v>0.0212680537271724</v>
      </c>
      <c r="CG79" s="1"/>
      <c r="XFD79" s="5"/>
    </row>
    <row r="80" customFormat="false" ht="12.8" hidden="false" customHeight="false" outlineLevel="0" collapsed="false">
      <c r="B80" s="55" t="s">
        <v>116</v>
      </c>
      <c r="C80" s="55" t="s">
        <v>117</v>
      </c>
      <c r="D80" s="55"/>
      <c r="E80" s="55"/>
      <c r="F80" s="55"/>
      <c r="G80" s="56" t="n">
        <v>451000000</v>
      </c>
      <c r="H80" s="56" t="n">
        <v>451000000</v>
      </c>
      <c r="I80" s="57" t="n">
        <v>264360866</v>
      </c>
      <c r="J80" s="57" t="n">
        <v>264360866</v>
      </c>
      <c r="K80" s="58" t="n">
        <v>0.405</v>
      </c>
      <c r="L80" s="59" t="n">
        <f aca="false">IFERROR(J80/C7, "")</f>
        <v>0.0212447898477789</v>
      </c>
      <c r="M80" s="59" t="n">
        <v>0.01</v>
      </c>
      <c r="N80" s="81" t="n">
        <v>0.05</v>
      </c>
      <c r="O80" s="61" t="n">
        <f aca="false">IF(N80="","",IF(L80&gt;N80,(L80-N80)*$C$6,0))</f>
        <v>0</v>
      </c>
      <c r="P80" s="57" t="n">
        <v>264360866</v>
      </c>
      <c r="Q80" s="59" t="n">
        <v>0.75</v>
      </c>
      <c r="R80" s="57" t="n">
        <v>198270650</v>
      </c>
      <c r="S80" s="59" t="n">
        <f aca="false">IFERROR(IF(G80=0,"",R80/$R$86)*($R$50/SUM($R$21:$R$48)),"")</f>
        <v>0.0184814879270212</v>
      </c>
      <c r="CG80" s="1"/>
      <c r="XFD80" s="5"/>
    </row>
    <row r="81" customFormat="false" ht="12.8" hidden="false" customHeight="false" outlineLevel="0" collapsed="false">
      <c r="B81" s="55" t="s">
        <v>118</v>
      </c>
      <c r="C81" s="55" t="s">
        <v>114</v>
      </c>
      <c r="D81" s="55"/>
      <c r="E81" s="55"/>
      <c r="F81" s="55"/>
      <c r="G81" s="56" t="n">
        <v>491000000</v>
      </c>
      <c r="H81" s="56" t="n">
        <v>491000000</v>
      </c>
      <c r="I81" s="57" t="n">
        <v>287807506</v>
      </c>
      <c r="J81" s="57" t="n">
        <v>287807506</v>
      </c>
      <c r="K81" s="58" t="n">
        <v>0.205</v>
      </c>
      <c r="L81" s="59" t="n">
        <f aca="false">IFERROR(J81/C7, "")</f>
        <v>0.0231290284152094</v>
      </c>
      <c r="M81" s="59" t="n">
        <v>0.009</v>
      </c>
      <c r="N81" s="81" t="n">
        <v>0.05</v>
      </c>
      <c r="O81" s="61" t="n">
        <f aca="false">IF(N81="","",IF(L81&gt;N81,(L81-N81)*$C$6,0))</f>
        <v>0</v>
      </c>
      <c r="P81" s="57" t="n">
        <v>287807506</v>
      </c>
      <c r="Q81" s="59" t="n">
        <v>0.75</v>
      </c>
      <c r="R81" s="57" t="n">
        <v>215855630</v>
      </c>
      <c r="S81" s="59" t="n">
        <f aca="false">IFERROR(IF(G81=0,"",R81/$R$86)*($R$50/SUM($R$21:$R$48)),"")</f>
        <v>0.0201206442800513</v>
      </c>
      <c r="CG81" s="1"/>
      <c r="XFD81" s="5"/>
    </row>
    <row r="82" customFormat="false" ht="12.8" hidden="false" customHeight="false" outlineLevel="0" collapsed="false">
      <c r="B82" s="55" t="s">
        <v>119</v>
      </c>
      <c r="C82" s="55" t="s">
        <v>114</v>
      </c>
      <c r="D82" s="55"/>
      <c r="E82" s="55"/>
      <c r="F82" s="55"/>
      <c r="G82" s="56" t="n">
        <v>100000000</v>
      </c>
      <c r="H82" s="56" t="n">
        <v>100000000</v>
      </c>
      <c r="I82" s="57" t="n">
        <v>45922500</v>
      </c>
      <c r="J82" s="57" t="n">
        <v>45922500</v>
      </c>
      <c r="K82" s="58" t="n">
        <v>0.405</v>
      </c>
      <c r="L82" s="59" t="n">
        <f aca="false">IFERROR(J82/C7, "")</f>
        <v>0.00369046249751894</v>
      </c>
      <c r="M82" s="59" t="n">
        <v>0.005</v>
      </c>
      <c r="N82" s="81" t="n">
        <v>0.05</v>
      </c>
      <c r="O82" s="61" t="n">
        <f aca="false">IF(N82="","",IF(L82&gt;N82,(L82-N82)*$C$6,0))</f>
        <v>0</v>
      </c>
      <c r="P82" s="57" t="n">
        <v>45922500</v>
      </c>
      <c r="Q82" s="59" t="n">
        <v>0.75</v>
      </c>
      <c r="R82" s="57" t="n">
        <v>34441875</v>
      </c>
      <c r="S82" s="59" t="n">
        <f aca="false">IFERROR(IF(G82=0,"",R82/$R$86)*($R$50/SUM($R$21:$R$48)),"")</f>
        <v>0.00321044540377748</v>
      </c>
      <c r="CG82" s="1"/>
      <c r="XFD82" s="5"/>
    </row>
    <row r="83" customFormat="false" ht="12.8" hidden="false" customHeight="false" outlineLevel="0" collapsed="false">
      <c r="B83" s="55"/>
      <c r="C83" s="55"/>
      <c r="D83" s="55"/>
      <c r="E83" s="55"/>
      <c r="F83" s="55"/>
      <c r="G83" s="56"/>
      <c r="H83" s="56"/>
      <c r="I83" s="57"/>
      <c r="J83" s="57"/>
      <c r="K83" s="58"/>
      <c r="L83" s="59"/>
      <c r="M83" s="59"/>
      <c r="N83" s="82"/>
      <c r="O83" s="61"/>
      <c r="P83" s="57"/>
      <c r="Q83" s="59"/>
      <c r="R83" s="57"/>
      <c r="S83" s="59"/>
      <c r="CG83" s="1"/>
      <c r="XFD83" s="5"/>
    </row>
    <row r="84" s="68" customFormat="true" ht="12.8" hidden="false" customHeight="false" outlineLevel="0" collapsed="false">
      <c r="A84" s="1"/>
      <c r="B84" s="62" t="s">
        <v>120</v>
      </c>
      <c r="C84" s="62"/>
      <c r="D84" s="62"/>
      <c r="E84" s="62"/>
      <c r="F84" s="62"/>
      <c r="G84" s="63" t="n">
        <f aca="false">SUM(G69:G82)</f>
        <v>6893000000</v>
      </c>
      <c r="H84" s="63" t="n">
        <f aca="false">SUM(H69:H82)</f>
        <v>6893000000</v>
      </c>
      <c r="I84" s="63" t="n">
        <f aca="false">SUM(I69:I82)</f>
        <v>2713335572</v>
      </c>
      <c r="J84" s="63" t="n">
        <f aca="false">SUM(J69:J82)</f>
        <v>2713335572</v>
      </c>
      <c r="K84" s="64"/>
      <c r="L84" s="65" t="n">
        <f aca="false">SUM(L69:L82)</f>
        <v>0.218051351116557</v>
      </c>
      <c r="M84" s="65" t="n">
        <f aca="false">SUM(M69:M82)</f>
        <v>0.35</v>
      </c>
      <c r="N84" s="66" t="n">
        <v>1</v>
      </c>
      <c r="O84" s="67" t="n">
        <f aca="false">SUM(O69:O82)</f>
        <v>0</v>
      </c>
      <c r="P84" s="63" t="n">
        <f aca="false">SUM(P69:P82)</f>
        <v>2713335572</v>
      </c>
      <c r="Q84" s="66" t="n">
        <v>0.75</v>
      </c>
      <c r="R84" s="63" t="n">
        <f aca="false">SUM(R69:R82)</f>
        <v>2035001680</v>
      </c>
      <c r="S84" s="65" t="n">
        <f aca="false">SUM(S69:S82)</f>
        <v>0.189689492521399</v>
      </c>
    </row>
    <row r="85" customFormat="false" ht="12.8" hidden="false" customHeight="false" outlineLevel="0" collapsed="false">
      <c r="F85" s="1"/>
      <c r="G85" s="69"/>
      <c r="H85" s="69"/>
      <c r="I85" s="2"/>
      <c r="J85" s="2"/>
      <c r="K85" s="70"/>
      <c r="L85" s="84"/>
      <c r="M85" s="84"/>
      <c r="N85" s="71"/>
      <c r="O85" s="72"/>
      <c r="P85" s="2"/>
      <c r="Q85" s="3"/>
      <c r="R85" s="2"/>
      <c r="S85" s="3"/>
      <c r="CG85" s="1"/>
      <c r="XFD85" s="5"/>
    </row>
    <row r="86" s="1" customFormat="true" ht="17.9" hidden="false" customHeight="true" outlineLevel="0" collapsed="false">
      <c r="B86" s="85" t="s">
        <v>121</v>
      </c>
      <c r="C86" s="85"/>
      <c r="D86" s="85"/>
      <c r="E86" s="85"/>
      <c r="F86" s="85"/>
      <c r="G86" s="86" t="n">
        <f aca="false">SUM(G84,G66,G50)</f>
        <v>24649436625</v>
      </c>
      <c r="H86" s="86" t="n">
        <f aca="false">SUM(H84,H66,H50)</f>
        <v>24649436625</v>
      </c>
      <c r="I86" s="86" t="n">
        <f aca="false">SUM(I84,I66,I50)</f>
        <v>12372297594</v>
      </c>
      <c r="J86" s="86" t="n">
        <f aca="false">SUM(J84,J66,J50)</f>
        <v>12372297594</v>
      </c>
      <c r="K86" s="87"/>
      <c r="L86" s="87" t="n">
        <f aca="false">SUM(L84,L66,L50)</f>
        <v>0.99427296594917</v>
      </c>
      <c r="M86" s="87" t="n">
        <f aca="false">SUM(M84,M66,M50)</f>
        <v>0.688</v>
      </c>
      <c r="N86" s="88" t="n">
        <v>1</v>
      </c>
      <c r="O86" s="89" t="n">
        <f aca="false">SUM(O84,O66,O50)</f>
        <v>0</v>
      </c>
      <c r="P86" s="86" t="n">
        <f aca="false">SUM(P84,P66,P50)</f>
        <v>12372297594</v>
      </c>
      <c r="Q86" s="88" t="n">
        <v>0.75</v>
      </c>
      <c r="R86" s="86" t="n">
        <f aca="false">SUM(R84,R66,R50)</f>
        <v>10728067501</v>
      </c>
      <c r="S86" s="90"/>
    </row>
    <row r="87" customFormat="false" ht="12.8" hidden="false" customHeight="false" outlineLevel="0" collapsed="false">
      <c r="F87" s="1"/>
      <c r="G87" s="69"/>
      <c r="H87" s="69"/>
      <c r="I87" s="2"/>
      <c r="J87" s="2"/>
      <c r="K87" s="70"/>
      <c r="L87" s="3"/>
      <c r="M87" s="3"/>
      <c r="N87" s="91"/>
      <c r="O87" s="72"/>
      <c r="P87" s="2"/>
      <c r="Q87" s="3"/>
      <c r="R87" s="2"/>
      <c r="S87" s="3"/>
      <c r="CG87" s="1"/>
      <c r="XFD87" s="5"/>
    </row>
    <row r="88" customFormat="false" ht="12.8" hidden="false" customHeight="false" outlineLevel="0" collapsed="false">
      <c r="B88" s="73" t="s">
        <v>122</v>
      </c>
      <c r="C88" s="73"/>
      <c r="D88" s="73"/>
      <c r="E88" s="73"/>
      <c r="F88" s="73"/>
      <c r="G88" s="74"/>
      <c r="H88" s="74"/>
      <c r="I88" s="75"/>
      <c r="J88" s="75"/>
      <c r="K88" s="76"/>
      <c r="L88" s="77"/>
      <c r="M88" s="77"/>
      <c r="N88" s="78"/>
      <c r="O88" s="79"/>
      <c r="P88" s="75"/>
      <c r="Q88" s="77"/>
      <c r="R88" s="75"/>
      <c r="S88" s="77"/>
      <c r="CG88" s="1"/>
      <c r="XFD88" s="5"/>
    </row>
    <row r="89" customFormat="false" ht="12.8" hidden="false" customHeight="false" outlineLevel="0" collapsed="false">
      <c r="B89" s="55" t="s">
        <v>123</v>
      </c>
      <c r="C89" s="55"/>
      <c r="D89" s="55"/>
      <c r="E89" s="55"/>
      <c r="F89" s="55"/>
      <c r="G89" s="56" t="n">
        <v>25000000</v>
      </c>
      <c r="H89" s="57" t="n">
        <v>25000000</v>
      </c>
      <c r="I89" s="57" t="n">
        <v>14654161</v>
      </c>
      <c r="J89" s="57" t="n">
        <v>14654161</v>
      </c>
      <c r="K89" s="58" t="n">
        <v>0.405</v>
      </c>
      <c r="L89" s="59" t="n">
        <f aca="false">IFERROR(J89/C7, "")</f>
        <v>0.0011776499886353</v>
      </c>
      <c r="M89" s="59" t="str">
        <f aca="false">IFERROR(K89/D7, "")</f>
        <v/>
      </c>
      <c r="N89" s="82"/>
      <c r="O89" s="61"/>
      <c r="P89" s="57"/>
      <c r="Q89" s="59"/>
      <c r="R89" s="57"/>
      <c r="S89" s="59"/>
      <c r="CG89" s="1"/>
      <c r="XFD89" s="5"/>
    </row>
    <row r="90" customFormat="false" ht="12.8" hidden="false" customHeight="false" outlineLevel="0" collapsed="false">
      <c r="B90" s="55" t="s">
        <v>124</v>
      </c>
      <c r="C90" s="55" t="s">
        <v>125</v>
      </c>
      <c r="D90" s="55"/>
      <c r="E90" s="55"/>
      <c r="F90" s="55"/>
      <c r="G90" s="56" t="n">
        <v>450000</v>
      </c>
      <c r="H90" s="57" t="n">
        <v>450000</v>
      </c>
      <c r="I90" s="57" t="n">
        <v>263777</v>
      </c>
      <c r="J90" s="57" t="n">
        <v>263777</v>
      </c>
      <c r="K90" s="58" t="n">
        <v>0.405</v>
      </c>
      <c r="L90" s="59" t="n">
        <f aca="false">IFERROR(J90/C7, "")</f>
        <v>2.11978687181241E-005</v>
      </c>
      <c r="M90" s="59" t="str">
        <f aca="false">IFERROR(K90/D7, "")</f>
        <v/>
      </c>
      <c r="N90" s="82"/>
      <c r="O90" s="61"/>
      <c r="P90" s="57"/>
      <c r="Q90" s="59"/>
      <c r="R90" s="57"/>
      <c r="S90" s="59"/>
      <c r="CG90" s="1"/>
      <c r="XFD90" s="5"/>
    </row>
    <row r="91" customFormat="false" ht="12.8" hidden="false" customHeight="false" outlineLevel="0" collapsed="false">
      <c r="B91" s="55" t="s">
        <v>126</v>
      </c>
      <c r="C91" s="55"/>
      <c r="D91" s="55"/>
      <c r="E91" s="55"/>
      <c r="F91" s="55"/>
      <c r="G91" s="56" t="n">
        <v>250000</v>
      </c>
      <c r="H91" s="57" t="n">
        <v>250000</v>
      </c>
      <c r="I91" s="57" t="n">
        <v>146544</v>
      </c>
      <c r="J91" s="57" t="n">
        <v>146544</v>
      </c>
      <c r="K91" s="58" t="n">
        <v>0.405</v>
      </c>
      <c r="L91" s="59" t="n">
        <f aca="false">IFERROR(J91/C7, "")</f>
        <v>1.17766919535394E-005</v>
      </c>
      <c r="M91" s="59" t="str">
        <f aca="false">IFERROR(K91/D7, "")</f>
        <v/>
      </c>
      <c r="N91" s="82"/>
      <c r="O91" s="61"/>
      <c r="P91" s="57"/>
      <c r="Q91" s="59"/>
      <c r="R91" s="57"/>
      <c r="S91" s="59"/>
      <c r="CG91" s="1"/>
      <c r="XFD91" s="5"/>
    </row>
    <row r="92" customFormat="false" ht="12.8" hidden="false" customHeight="false" outlineLevel="0" collapsed="false">
      <c r="B92" s="55" t="s">
        <v>127</v>
      </c>
      <c r="C92" s="55" t="s">
        <v>128</v>
      </c>
      <c r="D92" s="55"/>
      <c r="E92" s="55"/>
      <c r="F92" s="55"/>
      <c r="G92" s="56" t="n">
        <v>500000</v>
      </c>
      <c r="H92" s="57" t="n">
        <v>500000</v>
      </c>
      <c r="I92" s="57" t="n">
        <v>293082</v>
      </c>
      <c r="J92" s="57" t="n">
        <v>293082</v>
      </c>
      <c r="K92" s="58" t="n">
        <v>0.405</v>
      </c>
      <c r="L92" s="59" t="n">
        <f aca="false">IFERROR(J92/C7, "")</f>
        <v>2.35529017300418E-005</v>
      </c>
      <c r="M92" s="59" t="str">
        <f aca="false">IFERROR(K92/D7, "")</f>
        <v/>
      </c>
      <c r="N92" s="82"/>
      <c r="O92" s="61"/>
      <c r="P92" s="57"/>
      <c r="Q92" s="59"/>
      <c r="R92" s="57"/>
      <c r="S92" s="59"/>
      <c r="CG92" s="1"/>
      <c r="XFD92" s="5"/>
    </row>
    <row r="93" customFormat="false" ht="12.8" hidden="false" customHeight="false" outlineLevel="0" collapsed="false">
      <c r="B93" s="55" t="s">
        <v>129</v>
      </c>
      <c r="C93" s="55"/>
      <c r="D93" s="55"/>
      <c r="E93" s="55"/>
      <c r="F93" s="55"/>
      <c r="G93" s="56" t="n">
        <v>500000</v>
      </c>
      <c r="H93" s="57" t="n">
        <v>500000</v>
      </c>
      <c r="I93" s="57" t="n">
        <v>293082</v>
      </c>
      <c r="J93" s="57" t="n">
        <v>293082</v>
      </c>
      <c r="K93" s="58" t="n">
        <v>0.405</v>
      </c>
      <c r="L93" s="59" t="n">
        <f aca="false">IFERROR(J93/C7, "")</f>
        <v>2.35529017300418E-005</v>
      </c>
      <c r="M93" s="59" t="str">
        <f aca="false">IFERROR(K93/D7, "")</f>
        <v/>
      </c>
      <c r="N93" s="82"/>
      <c r="O93" s="61"/>
      <c r="P93" s="57"/>
      <c r="Q93" s="59"/>
      <c r="R93" s="57"/>
      <c r="S93" s="59"/>
      <c r="CG93" s="1"/>
      <c r="XFD93" s="5"/>
    </row>
    <row r="94" customFormat="false" ht="12.8" hidden="false" customHeight="false" outlineLevel="0" collapsed="false">
      <c r="B94" s="55" t="s">
        <v>130</v>
      </c>
      <c r="C94" s="55"/>
      <c r="D94" s="55"/>
      <c r="E94" s="55"/>
      <c r="F94" s="55"/>
      <c r="G94" s="56" t="n">
        <v>2000000</v>
      </c>
      <c r="H94" s="57" t="n">
        <v>2000000</v>
      </c>
      <c r="I94" s="57" t="n">
        <v>1172334</v>
      </c>
      <c r="J94" s="57" t="n">
        <v>1172334</v>
      </c>
      <c r="K94" s="58" t="n">
        <v>0.405</v>
      </c>
      <c r="L94" s="59" t="n">
        <f aca="false">IFERROR(J94/C7, "")</f>
        <v>9.42120890972043E-005</v>
      </c>
      <c r="M94" s="59" t="str">
        <f aca="false">IFERROR(K94/D7, "")</f>
        <v/>
      </c>
      <c r="N94" s="82"/>
      <c r="O94" s="61"/>
      <c r="P94" s="57"/>
      <c r="Q94" s="59"/>
      <c r="R94" s="57"/>
      <c r="S94" s="59"/>
      <c r="CG94" s="1"/>
      <c r="XFD94" s="5"/>
    </row>
    <row r="95" customFormat="false" ht="12.8" hidden="false" customHeight="false" outlineLevel="0" collapsed="false">
      <c r="B95" s="92" t="s">
        <v>131</v>
      </c>
      <c r="C95" s="92"/>
      <c r="D95" s="92"/>
      <c r="E95" s="92"/>
      <c r="F95" s="92"/>
      <c r="G95" s="93" t="n">
        <v>1000000</v>
      </c>
      <c r="H95" s="94" t="n">
        <v>1000000</v>
      </c>
      <c r="I95" s="94" t="n">
        <v>586166</v>
      </c>
      <c r="J95" s="94" t="n">
        <v>586166</v>
      </c>
      <c r="K95" s="95" t="n">
        <v>0.405</v>
      </c>
      <c r="L95" s="96" t="n">
        <f aca="false">IFERROR(J95/C7, "")</f>
        <v>4.71059641857626E-005</v>
      </c>
      <c r="M95" s="96" t="str">
        <f aca="false">IFERROR(K95/D7, "")</f>
        <v/>
      </c>
      <c r="N95" s="97"/>
      <c r="O95" s="98"/>
      <c r="P95" s="94"/>
      <c r="Q95" s="96"/>
      <c r="R95" s="94"/>
      <c r="S95" s="96"/>
      <c r="CG95" s="1"/>
      <c r="XFD95" s="5"/>
    </row>
    <row r="96" customFormat="false" ht="12.8" hidden="false" customHeight="false" outlineLevel="0" collapsed="false">
      <c r="B96" s="55" t="s">
        <v>132</v>
      </c>
      <c r="C96" s="55"/>
      <c r="D96" s="55"/>
      <c r="E96" s="55"/>
      <c r="F96" s="55"/>
      <c r="G96" s="56" t="n">
        <v>400000</v>
      </c>
      <c r="H96" s="57" t="n">
        <v>400000</v>
      </c>
      <c r="I96" s="57" t="n">
        <v>234466</v>
      </c>
      <c r="J96" s="57" t="n">
        <v>234466</v>
      </c>
      <c r="K96" s="58" t="n">
        <v>0.405</v>
      </c>
      <c r="L96" s="59" t="n">
        <f aca="false">IFERROR(J96/C7, "")</f>
        <v>1.88423535291692E-005</v>
      </c>
      <c r="M96" s="59" t="str">
        <f aca="false">IFERROR(K96/D7, "")</f>
        <v/>
      </c>
      <c r="N96" s="82"/>
      <c r="O96" s="61"/>
      <c r="P96" s="57"/>
      <c r="Q96" s="59"/>
      <c r="R96" s="57"/>
      <c r="S96" s="59"/>
      <c r="CG96" s="1"/>
      <c r="XFD96" s="5"/>
    </row>
    <row r="97" customFormat="false" ht="12.8" hidden="false" customHeight="false" outlineLevel="0" collapsed="false">
      <c r="B97" s="55" t="s">
        <v>133</v>
      </c>
      <c r="C97" s="55"/>
      <c r="D97" s="55"/>
      <c r="E97" s="55"/>
      <c r="F97" s="55"/>
      <c r="G97" s="56" t="n">
        <v>8000000</v>
      </c>
      <c r="H97" s="57" t="n">
        <v>8000000</v>
      </c>
      <c r="I97" s="57" t="n">
        <v>4689331</v>
      </c>
      <c r="J97" s="57" t="n">
        <v>4689331</v>
      </c>
      <c r="K97" s="58" t="n">
        <v>0.405</v>
      </c>
      <c r="L97" s="59" t="n">
        <f aca="false">IFERROR(J97/C7, "")</f>
        <v>0.00037684795457462</v>
      </c>
      <c r="M97" s="59" t="str">
        <f aca="false">IFERROR(K97/D7, "")</f>
        <v/>
      </c>
      <c r="N97" s="82"/>
      <c r="O97" s="61"/>
      <c r="P97" s="57"/>
      <c r="Q97" s="59"/>
      <c r="R97" s="57"/>
      <c r="S97" s="59"/>
      <c r="CG97" s="1"/>
      <c r="XFD97" s="5"/>
    </row>
    <row r="98" customFormat="false" ht="12.8" hidden="false" customHeight="false" outlineLevel="0" collapsed="false">
      <c r="B98" s="55" t="s">
        <v>134</v>
      </c>
      <c r="C98" s="55"/>
      <c r="D98" s="55"/>
      <c r="E98" s="55"/>
      <c r="F98" s="55"/>
      <c r="G98" s="56" t="n">
        <v>1000000</v>
      </c>
      <c r="H98" s="57" t="n">
        <v>1000000</v>
      </c>
      <c r="I98" s="57" t="n">
        <v>586166</v>
      </c>
      <c r="J98" s="57" t="n">
        <v>586166</v>
      </c>
      <c r="K98" s="58" t="n">
        <v>0.405</v>
      </c>
      <c r="L98" s="59" t="n">
        <f aca="false">IFERROR(J98/C7, "")</f>
        <v>4.71059641857626E-005</v>
      </c>
      <c r="M98" s="59" t="str">
        <f aca="false">IFERROR(K98/D7, "")</f>
        <v/>
      </c>
      <c r="N98" s="82"/>
      <c r="O98" s="61"/>
      <c r="P98" s="57"/>
      <c r="Q98" s="59"/>
      <c r="R98" s="57"/>
      <c r="S98" s="59"/>
      <c r="CG98" s="1"/>
      <c r="XFD98" s="5"/>
    </row>
    <row r="99" customFormat="false" ht="12.8" hidden="false" customHeight="false" outlineLevel="0" collapsed="false">
      <c r="B99" s="99" t="s">
        <v>135</v>
      </c>
      <c r="C99" s="99" t="s">
        <v>136</v>
      </c>
      <c r="D99" s="99"/>
      <c r="E99" s="99"/>
      <c r="F99" s="99"/>
      <c r="G99" s="100" t="n">
        <v>7000000</v>
      </c>
      <c r="H99" s="101" t="n">
        <v>7000000</v>
      </c>
      <c r="I99" s="101" t="n">
        <v>4103163</v>
      </c>
      <c r="J99" s="101" t="n">
        <v>4103163</v>
      </c>
      <c r="K99" s="102" t="n">
        <v>0.405</v>
      </c>
      <c r="L99" s="103" t="n">
        <f aca="false">IFERROR(J99/C7, "")</f>
        <v>0.000329741829663178</v>
      </c>
      <c r="M99" s="103" t="str">
        <f aca="false">IFERROR(K99/D7, "")</f>
        <v/>
      </c>
      <c r="N99" s="104"/>
      <c r="O99" s="105"/>
      <c r="P99" s="101"/>
      <c r="Q99" s="103"/>
      <c r="R99" s="101"/>
      <c r="S99" s="103"/>
      <c r="CG99" s="1"/>
      <c r="XFD99" s="5"/>
    </row>
    <row r="100" customFormat="false" ht="12.8" hidden="false" customHeight="false" outlineLevel="0" collapsed="false">
      <c r="B100" s="55" t="s">
        <v>137</v>
      </c>
      <c r="C100" s="55"/>
      <c r="D100" s="55"/>
      <c r="E100" s="55"/>
      <c r="F100" s="55"/>
      <c r="G100" s="56" t="n">
        <v>5000000</v>
      </c>
      <c r="H100" s="57" t="n">
        <v>5000000</v>
      </c>
      <c r="I100" s="57" t="n">
        <v>2930831</v>
      </c>
      <c r="J100" s="57" t="n">
        <v>2930831</v>
      </c>
      <c r="K100" s="58" t="n">
        <v>0.405</v>
      </c>
      <c r="L100" s="59" t="n">
        <f aca="false">IFERROR(J100/C7, "")</f>
        <v>0.000235529901291653</v>
      </c>
      <c r="M100" s="59" t="str">
        <f aca="false">IFERROR(K100/D7, "")</f>
        <v/>
      </c>
      <c r="N100" s="82"/>
      <c r="O100" s="61"/>
      <c r="P100" s="57"/>
      <c r="Q100" s="59"/>
      <c r="R100" s="57"/>
      <c r="S100" s="59"/>
      <c r="CG100" s="1"/>
      <c r="XFD100" s="5"/>
    </row>
    <row r="101" customFormat="false" ht="12.8" hidden="false" customHeight="false" outlineLevel="0" collapsed="false">
      <c r="B101" s="55" t="s">
        <v>138</v>
      </c>
      <c r="C101" s="55" t="s">
        <v>139</v>
      </c>
      <c r="D101" s="55"/>
      <c r="E101" s="55"/>
      <c r="F101" s="55"/>
      <c r="G101" s="56" t="n">
        <v>1250000</v>
      </c>
      <c r="H101" s="57" t="n">
        <v>1250000</v>
      </c>
      <c r="I101" s="57" t="n">
        <v>732710</v>
      </c>
      <c r="J101" s="57" t="n">
        <v>732710</v>
      </c>
      <c r="K101" s="58" t="n">
        <v>0.405</v>
      </c>
      <c r="L101" s="59" t="n">
        <f aca="false">IFERROR(J101/C7, "")</f>
        <v>5.88826561393021E-005</v>
      </c>
      <c r="M101" s="59" t="str">
        <f aca="false">IFERROR(K101/D7, "")</f>
        <v/>
      </c>
      <c r="N101" s="82"/>
      <c r="O101" s="61"/>
      <c r="P101" s="57"/>
      <c r="Q101" s="59"/>
      <c r="R101" s="57"/>
      <c r="S101" s="59"/>
      <c r="CG101" s="1"/>
      <c r="XFD101" s="5"/>
    </row>
    <row r="102" customFormat="false" ht="12.8" hidden="false" customHeight="false" outlineLevel="0" collapsed="false">
      <c r="B102" s="55" t="s">
        <v>140</v>
      </c>
      <c r="C102" s="55"/>
      <c r="D102" s="55"/>
      <c r="E102" s="55"/>
      <c r="F102" s="55"/>
      <c r="G102" s="56" t="n">
        <v>750000</v>
      </c>
      <c r="H102" s="57" t="n">
        <v>750000</v>
      </c>
      <c r="I102" s="57" t="n">
        <v>439626</v>
      </c>
      <c r="J102" s="57" t="n">
        <v>439626</v>
      </c>
      <c r="K102" s="58" t="n">
        <v>0.405</v>
      </c>
      <c r="L102" s="59" t="n">
        <f aca="false">IFERROR(J102/C7, "")</f>
        <v>3.53295936835812E-005</v>
      </c>
      <c r="M102" s="59" t="str">
        <f aca="false">IFERROR(K102/D7, "")</f>
        <v/>
      </c>
      <c r="N102" s="82"/>
      <c r="O102" s="61"/>
      <c r="P102" s="57"/>
      <c r="Q102" s="59"/>
      <c r="R102" s="57"/>
      <c r="S102" s="59"/>
      <c r="CG102" s="1"/>
      <c r="XFD102" s="5"/>
    </row>
    <row r="103" customFormat="false" ht="12.8" hidden="false" customHeight="false" outlineLevel="0" collapsed="false">
      <c r="B103" s="55" t="s">
        <v>141</v>
      </c>
      <c r="C103" s="55"/>
      <c r="D103" s="55"/>
      <c r="E103" s="55"/>
      <c r="F103" s="55"/>
      <c r="G103" s="56" t="n">
        <v>2000000</v>
      </c>
      <c r="H103" s="57" t="n">
        <v>2000000</v>
      </c>
      <c r="I103" s="57" t="n">
        <v>1172334</v>
      </c>
      <c r="J103" s="57" t="n">
        <v>1172334</v>
      </c>
      <c r="K103" s="58" t="n">
        <v>0.405</v>
      </c>
      <c r="L103" s="59" t="n">
        <f aca="false">IFERROR(J103/C7, "")</f>
        <v>9.42120890972043E-005</v>
      </c>
      <c r="M103" s="59" t="str">
        <f aca="false">IFERROR(K103/D7, "")</f>
        <v/>
      </c>
      <c r="N103" s="82"/>
      <c r="O103" s="61"/>
      <c r="P103" s="57"/>
      <c r="Q103" s="59"/>
      <c r="R103" s="57"/>
      <c r="S103" s="59"/>
      <c r="CG103" s="1"/>
      <c r="XFD103" s="5"/>
    </row>
    <row r="104" customFormat="false" ht="12.8" hidden="false" customHeight="false" outlineLevel="0" collapsed="false">
      <c r="B104" s="55" t="s">
        <v>142</v>
      </c>
      <c r="C104" s="55"/>
      <c r="D104" s="55"/>
      <c r="E104" s="55"/>
      <c r="F104" s="55"/>
      <c r="G104" s="56" t="n">
        <v>14250000</v>
      </c>
      <c r="H104" s="57" t="n">
        <v>14250000</v>
      </c>
      <c r="I104" s="57" t="n">
        <v>6543956</v>
      </c>
      <c r="J104" s="57" t="n">
        <v>6543956</v>
      </c>
      <c r="K104" s="58" t="n">
        <v>0.405</v>
      </c>
      <c r="L104" s="59" t="n">
        <f aca="false">IFERROR(J104/C7, "")</f>
        <v>0.000525890885805738</v>
      </c>
      <c r="M104" s="59" t="str">
        <f aca="false">IFERROR(K104/D7, "")</f>
        <v/>
      </c>
      <c r="N104" s="82"/>
      <c r="O104" s="61"/>
      <c r="P104" s="57"/>
      <c r="Q104" s="59"/>
      <c r="R104" s="57"/>
      <c r="S104" s="59"/>
      <c r="CG104" s="1"/>
      <c r="XFD104" s="5"/>
    </row>
    <row r="105" customFormat="false" ht="12.8" hidden="false" customHeight="false" outlineLevel="0" collapsed="false">
      <c r="B105" s="55" t="s">
        <v>143</v>
      </c>
      <c r="C105" s="55"/>
      <c r="D105" s="55"/>
      <c r="E105" s="55"/>
      <c r="F105" s="55"/>
      <c r="G105" s="56" t="n">
        <v>18500000</v>
      </c>
      <c r="H105" s="57" t="n">
        <v>18500000</v>
      </c>
      <c r="I105" s="57" t="n">
        <v>8495662</v>
      </c>
      <c r="J105" s="57" t="n">
        <v>8495662</v>
      </c>
      <c r="K105" s="58" t="n">
        <v>0.405</v>
      </c>
      <c r="L105" s="59" t="n">
        <f aca="false">IFERROR(J105/C7, "")</f>
        <v>0.000682735521859583</v>
      </c>
      <c r="M105" s="59" t="str">
        <f aca="false">IFERROR(K105/D7, "")</f>
        <v/>
      </c>
      <c r="N105" s="82"/>
      <c r="O105" s="61"/>
      <c r="P105" s="57"/>
      <c r="Q105" s="59"/>
      <c r="R105" s="57"/>
      <c r="S105" s="59"/>
      <c r="CG105" s="1"/>
      <c r="XFD105" s="5"/>
    </row>
    <row r="106" customFormat="false" ht="12.8" hidden="false" customHeight="false" outlineLevel="0" collapsed="false">
      <c r="B106" s="55" t="s">
        <v>144</v>
      </c>
      <c r="C106" s="55"/>
      <c r="D106" s="55"/>
      <c r="E106" s="55"/>
      <c r="F106" s="55"/>
      <c r="G106" s="56" t="n">
        <v>6000000</v>
      </c>
      <c r="H106" s="57" t="n">
        <v>6000000</v>
      </c>
      <c r="I106" s="57" t="n">
        <v>3516996</v>
      </c>
      <c r="J106" s="57" t="n">
        <v>3516996</v>
      </c>
      <c r="K106" s="58" t="n">
        <v>0.405</v>
      </c>
      <c r="L106" s="59" t="n">
        <f aca="false">IFERROR(J106/C7, "")</f>
        <v>0.000282635785114576</v>
      </c>
      <c r="M106" s="59" t="str">
        <f aca="false">IFERROR(K106/D7, "")</f>
        <v/>
      </c>
      <c r="N106" s="82"/>
      <c r="O106" s="61"/>
      <c r="P106" s="57"/>
      <c r="Q106" s="59"/>
      <c r="R106" s="57"/>
      <c r="S106" s="59"/>
      <c r="CG106" s="1"/>
      <c r="XFD106" s="5"/>
    </row>
    <row r="107" customFormat="false" ht="12.8" hidden="false" customHeight="false" outlineLevel="0" collapsed="false">
      <c r="B107" s="55" t="s">
        <v>145</v>
      </c>
      <c r="C107" s="55"/>
      <c r="D107" s="55"/>
      <c r="E107" s="55"/>
      <c r="F107" s="55"/>
      <c r="G107" s="56" t="n">
        <v>9750000</v>
      </c>
      <c r="H107" s="57" t="n">
        <v>9750000</v>
      </c>
      <c r="I107" s="57" t="n">
        <v>5715118</v>
      </c>
      <c r="J107" s="57" t="n">
        <v>5715118</v>
      </c>
      <c r="K107" s="58" t="n">
        <v>0.405</v>
      </c>
      <c r="L107" s="59" t="n">
        <f aca="false">IFERROR(J107/C7, "")</f>
        <v>0.000459283110629766</v>
      </c>
      <c r="M107" s="59" t="str">
        <f aca="false">IFERROR(K107/D7, "")</f>
        <v/>
      </c>
      <c r="N107" s="82"/>
      <c r="O107" s="61"/>
      <c r="P107" s="57"/>
      <c r="Q107" s="59"/>
      <c r="R107" s="57"/>
      <c r="S107" s="59"/>
      <c r="CG107" s="1"/>
      <c r="XFD107" s="5"/>
    </row>
    <row r="108" customFormat="false" ht="12.8" hidden="false" customHeight="false" outlineLevel="0" collapsed="false">
      <c r="B108" s="55" t="s">
        <v>146</v>
      </c>
      <c r="C108" s="55"/>
      <c r="D108" s="55"/>
      <c r="E108" s="55"/>
      <c r="F108" s="55"/>
      <c r="G108" s="56" t="n">
        <v>32000000</v>
      </c>
      <c r="H108" s="57" t="n">
        <v>32000000</v>
      </c>
      <c r="I108" s="57" t="n">
        <v>14695200</v>
      </c>
      <c r="J108" s="57" t="n">
        <v>14695200</v>
      </c>
      <c r="K108" s="58" t="n">
        <v>0.405</v>
      </c>
      <c r="L108" s="59" t="n">
        <f aca="false">IFERROR(J108/C7, "")</f>
        <v>0.00118094799920606</v>
      </c>
      <c r="M108" s="59" t="str">
        <f aca="false">IFERROR(K108/D7, "")</f>
        <v/>
      </c>
      <c r="N108" s="82"/>
      <c r="O108" s="61"/>
      <c r="P108" s="57"/>
      <c r="Q108" s="59"/>
      <c r="R108" s="57"/>
      <c r="S108" s="59"/>
      <c r="CG108" s="1"/>
      <c r="XFD108" s="5"/>
    </row>
    <row r="109" customFormat="false" ht="12.8" hidden="false" customHeight="false" outlineLevel="0" collapsed="false">
      <c r="B109" s="55"/>
      <c r="C109" s="55"/>
      <c r="D109" s="55"/>
      <c r="E109" s="55"/>
      <c r="F109" s="55"/>
      <c r="G109" s="56"/>
      <c r="H109" s="56"/>
      <c r="I109" s="57"/>
      <c r="J109" s="57"/>
      <c r="K109" s="58"/>
      <c r="L109" s="59"/>
      <c r="M109" s="59"/>
      <c r="N109" s="82"/>
      <c r="O109" s="61"/>
      <c r="P109" s="57"/>
      <c r="Q109" s="59"/>
      <c r="R109" s="57"/>
      <c r="S109" s="59"/>
      <c r="CG109" s="1"/>
      <c r="XFD109" s="5"/>
    </row>
    <row r="110" s="68" customFormat="true" ht="12.8" hidden="false" customHeight="false" outlineLevel="0" collapsed="false">
      <c r="A110" s="1"/>
      <c r="B110" s="62" t="s">
        <v>147</v>
      </c>
      <c r="C110" s="62"/>
      <c r="D110" s="62"/>
      <c r="E110" s="62"/>
      <c r="F110" s="62"/>
      <c r="G110" s="63" t="n">
        <f aca="false">SUM(G89:G108)</f>
        <v>135600000</v>
      </c>
      <c r="H110" s="63" t="n">
        <f aca="false">SUM(H89:H108)</f>
        <v>135600000</v>
      </c>
      <c r="I110" s="63" t="n">
        <f aca="false">SUM(I89:I108)</f>
        <v>71264705</v>
      </c>
      <c r="J110" s="63" t="n">
        <f aca="false">SUM(J89:J108)</f>
        <v>71264705</v>
      </c>
      <c r="K110" s="64"/>
      <c r="L110" s="65" t="n">
        <f aca="false">SUM(L89:L108)</f>
        <v>0.00572703405083021</v>
      </c>
      <c r="M110" s="65" t="n">
        <f aca="false">SUM(M89:M108)</f>
        <v>0</v>
      </c>
      <c r="N110" s="66" t="n">
        <v>1</v>
      </c>
      <c r="O110" s="67" t="n">
        <f aca="false">SUM(O89:O108)</f>
        <v>0</v>
      </c>
      <c r="P110" s="63" t="n">
        <f aca="false">SUM(P89:P108)</f>
        <v>0</v>
      </c>
      <c r="Q110" s="66" t="n">
        <v>0.75</v>
      </c>
      <c r="R110" s="63" t="n">
        <f aca="false">SUM(R89:R108)</f>
        <v>0</v>
      </c>
      <c r="S110" s="65" t="n">
        <f aca="false">SUM(S89:S108)</f>
        <v>0</v>
      </c>
    </row>
    <row r="111" customFormat="false" ht="12.8" hidden="false" customHeight="false" outlineLevel="0" collapsed="false">
      <c r="F111" s="1"/>
      <c r="I111" s="2"/>
      <c r="J111" s="2"/>
      <c r="K111" s="70"/>
      <c r="L111" s="3"/>
      <c r="M111" s="3"/>
      <c r="N111" s="1"/>
      <c r="O111" s="4"/>
      <c r="P111" s="2"/>
      <c r="Q111" s="3"/>
      <c r="R111" s="2"/>
      <c r="S111" s="3"/>
      <c r="CG111" s="1"/>
      <c r="XFD111" s="5"/>
    </row>
    <row r="112" s="113" customFormat="true" ht="20.85" hidden="false" customHeight="true" outlineLevel="0" collapsed="false">
      <c r="A112" s="1"/>
      <c r="B112" s="106" t="s">
        <v>148</v>
      </c>
      <c r="C112" s="106"/>
      <c r="D112" s="106"/>
      <c r="E112" s="106"/>
      <c r="F112" s="106"/>
      <c r="G112" s="107" t="n">
        <f aca="false">SUM(G110,G86)</f>
        <v>24785036625</v>
      </c>
      <c r="H112" s="107" t="n">
        <f aca="false">SUM(H110,H86)</f>
        <v>24785036625</v>
      </c>
      <c r="I112" s="107" t="n">
        <f aca="false">SUM(I110,I86)</f>
        <v>12443562299</v>
      </c>
      <c r="J112" s="107" t="n">
        <f aca="false">SUM(J110,J86)</f>
        <v>12443562299</v>
      </c>
      <c r="K112" s="108"/>
      <c r="L112" s="109" t="n">
        <f aca="false">SUM(L110,L86)</f>
        <v>1</v>
      </c>
      <c r="M112" s="109" t="n">
        <f aca="false">SUM(M110,M86)</f>
        <v>0.688</v>
      </c>
      <c r="N112" s="107"/>
      <c r="O112" s="110"/>
      <c r="P112" s="107" t="n">
        <f aca="false">SUM(P110,P86)</f>
        <v>12372297594</v>
      </c>
      <c r="Q112" s="111" t="n">
        <v>0.75</v>
      </c>
      <c r="R112" s="107" t="n">
        <f aca="false">SUM(R110,R86)</f>
        <v>10728067501</v>
      </c>
      <c r="S112" s="112"/>
    </row>
    <row r="113" customFormat="false" ht="12.8" hidden="false" customHeight="false" outlineLevel="0" collapsed="false">
      <c r="A113" s="113"/>
    </row>
  </sheetData>
  <autoFilter ref="B18:S50"/>
  <mergeCells count="2">
    <mergeCell ref="B4:C4"/>
    <mergeCell ref="B11:C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2026-06-17T03:32:36Z</dcterms:created>
  <dc:creator>Alexander Len</dc:creator>
  <dc:description/>
  <dc:language>en-US</dc:language>
  <cp:lastModifiedBy/>
  <dcterms:modified xsi:type="dcterms:W3CDTF">2026-07-11T20:33:48Z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