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rowing Base" sheetId="1" state="visible" r:id="rId2"/>
  </sheets>
  <definedNames>
    <definedName function="false" hidden="true" localSheetId="0" name="_xlnm._FilterDatabase" vbProcedure="false">'Borrowing Base'!$B$11:$P$42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<sst xmlns="http://schemas.openxmlformats.org/spreadsheetml/2006/main" count="180" uniqueCount="133">
  <si>
    <t xml:space="preserve">Petershill IV and Petershill IV Offshore SCSp – Subscription Facility Borrowing Base (Proposed)</t>
  </si>
  <si>
    <t xml:space="preserve">Legend</t>
  </si>
  <si>
    <t xml:space="preserve">Borrowing Base</t>
  </si>
  <si>
    <t xml:space="preserve">Reclassified</t>
  </si>
  <si>
    <t xml:space="preserve">Eligible Remaining Commitments</t>
  </si>
  <si>
    <t xml:space="preserve">Transferor</t>
  </si>
  <si>
    <t xml:space="preserve">Total Remaining Commitments</t>
  </si>
  <si>
    <t xml:space="preserve">Transferee</t>
  </si>
  <si>
    <t xml:space="preserve">Total Original Commitments</t>
  </si>
  <si>
    <t xml:space="preserve">Effective Advance Rate</t>
  </si>
  <si>
    <t xml:space="preserve">Apply Individual Concentration Limits</t>
  </si>
  <si>
    <t xml:space="preserve">Deal Investor Name</t>
  </si>
  <si>
    <t xml:space="preserve">Investor S&amp;P</t>
  </si>
  <si>
    <t xml:space="preserve">Investor Moody</t>
  </si>
  <si>
    <t xml:space="preserve">NAV Range (USD)</t>
  </si>
  <si>
    <t xml:space="preserve">Original Commitment</t>
  </si>
  <si>
    <t xml:space="preserve">Unfunded Capital Commitment</t>
  </si>
  <si>
    <t xml:space="preserve">% Called</t>
  </si>
  <si>
    <t xml:space="preserve">% of Unfunded Commitment</t>
  </si>
  <si>
    <t xml:space="preserve">% of Eligible Unfunded Commitment</t>
  </si>
  <si>
    <t xml:space="preserve">Concentration Limit</t>
  </si>
  <si>
    <t xml:space="preserve">Excess Concentration</t>
  </si>
  <si>
    <t xml:space="preserve">Eligible Commitment</t>
  </si>
  <si>
    <t xml:space="preserve">Advance Rate</t>
  </si>
  <si>
    <t xml:space="preserve">Borrowing Base Contribution</t>
  </si>
  <si>
    <t xml:space="preserve">% of Borrowing Base</t>
  </si>
  <si>
    <t xml:space="preserve">Included Investors (Rated)</t>
  </si>
  <si>
    <t xml:space="preserve">California Public Employees' Retirement System (Aggregate)</t>
  </si>
  <si>
    <t xml:space="preserve">BBB+</t>
  </si>
  <si>
    <t xml:space="preserve">A3</t>
  </si>
  <si>
    <t xml:space="preserve">THE PUBLIC INSTITUTION FOR SOCIAL SECURITY</t>
  </si>
  <si>
    <t xml:space="preserve">NR</t>
  </si>
  <si>
    <t xml:space="preserve">Bankers Life &amp; Casualty Company</t>
  </si>
  <si>
    <t xml:space="preserve">AA-</t>
  </si>
  <si>
    <t xml:space="preserve">Asahi Mutual Life Insurance Company</t>
  </si>
  <si>
    <t xml:space="preserve">AAA</t>
  </si>
  <si>
    <t xml:space="preserve">Aa1</t>
  </si>
  <si>
    <t xml:space="preserve">Washington National Insurance Company</t>
  </si>
  <si>
    <t xml:space="preserve">Aaa</t>
  </si>
  <si>
    <t xml:space="preserve">Hanwha Life Insurance Co., Ltd</t>
  </si>
  <si>
    <t xml:space="preserve">A-</t>
  </si>
  <si>
    <t xml:space="preserve">Sumitomo Mitsui Trust Bank, Ltd. (non GSAM)</t>
  </si>
  <si>
    <t xml:space="preserve">Samsung Fire &amp; Marine Insurance Co. Ltd</t>
  </si>
  <si>
    <t xml:space="preserve">AA+</t>
  </si>
  <si>
    <t xml:space="preserve">Woori Bank</t>
  </si>
  <si>
    <t xml:space="preserve">AA</t>
  </si>
  <si>
    <t xml:space="preserve">Custody Bank of Japan, Ltd. a/c 46839-5207</t>
  </si>
  <si>
    <t xml:space="preserve">Korea Investment Corporation</t>
  </si>
  <si>
    <t xml:space="preserve">Universities Superannuation Scheme</t>
  </si>
  <si>
    <t xml:space="preserve">A+</t>
  </si>
  <si>
    <t xml:space="preserve">A1</t>
  </si>
  <si>
    <t xml:space="preserve">Prudential Financial, Inc.</t>
  </si>
  <si>
    <t xml:space="preserve">Kuwait Investment Authority</t>
  </si>
  <si>
    <t xml:space="preserve">Aa2</t>
  </si>
  <si>
    <t xml:space="preserve">British Columbia Investment Management</t>
  </si>
  <si>
    <t xml:space="preserve">Pension Fund Association of Japan</t>
  </si>
  <si>
    <t xml:space="preserve">Kuwait Investment Authority a/c 93661-3205</t>
  </si>
  <si>
    <t xml:space="preserve">Oregon Public Employees Retirement Fund</t>
  </si>
  <si>
    <t xml:space="preserve">A</t>
  </si>
  <si>
    <t xml:space="preserve">A2</t>
  </si>
  <si>
    <t xml:space="preserve">MetLife Insurance K.K.</t>
  </si>
  <si>
    <t xml:space="preserve">Abu Dhabi Investment Authority</t>
  </si>
  <si>
    <t xml:space="preserve">Mubadala Investment Company a/c 28155-1664</t>
  </si>
  <si>
    <t xml:space="preserve">Tokio Marine &amp; Nichido Fire Insurance</t>
  </si>
  <si>
    <t xml:space="preserve">The Bank of Korea</t>
  </si>
  <si>
    <t xml:space="preserve">CTBC Bank Co., Ltd.</t>
  </si>
  <si>
    <t xml:space="preserve">Baa2</t>
  </si>
  <si>
    <t xml:space="preserve">Public Investment Fund</t>
  </si>
  <si>
    <t xml:space="preserve">New York State Common Retirement Fund a/c 54743-0535</t>
  </si>
  <si>
    <t xml:space="preserve">Government Pension Fund of Thailand</t>
  </si>
  <si>
    <t xml:space="preserve">Ping An Life Insurance</t>
  </si>
  <si>
    <t xml:space="preserve">Subtotal – Included Investors (Rated)</t>
  </si>
  <si>
    <t xml:space="preserve">Included Investors (Non-Rated)</t>
  </si>
  <si>
    <t xml:space="preserve">Q West Holding LLC</t>
  </si>
  <si>
    <t xml:space="preserve">&gt;=$20Bn</t>
  </si>
  <si>
    <t xml:space="preserve">Lititz Investment Pte Ltd</t>
  </si>
  <si>
    <t xml:space="preserve">Best Investment Corporation</t>
  </si>
  <si>
    <t xml:space="preserve">National Pension Service of the Republic of Korea</t>
  </si>
  <si>
    <t xml:space="preserve">Stichting Pensioenfonds ABP</t>
  </si>
  <si>
    <t xml:space="preserve">10-20 $Bn</t>
  </si>
  <si>
    <t xml:space="preserve">Manulife Financial Corporation</t>
  </si>
  <si>
    <t xml:space="preserve">Meiji Yasuda Life Insurance Company</t>
  </si>
  <si>
    <t xml:space="preserve">1-5 $Bn</t>
  </si>
  <si>
    <t xml:space="preserve">Aviva Investors</t>
  </si>
  <si>
    <t xml:space="preserve">Fubon Life Insurance Co., Ltd.</t>
  </si>
  <si>
    <t xml:space="preserve">New Jersey Division of Investment</t>
  </si>
  <si>
    <t xml:space="preserve">Allianz Global Investors</t>
  </si>
  <si>
    <t xml:space="preserve">Mubadala Investment Company</t>
  </si>
  <si>
    <t xml:space="preserve">Subtotal – Included Investors (Non-Rated)</t>
  </si>
  <si>
    <t xml:space="preserve">Institutional Designated Investors</t>
  </si>
  <si>
    <t xml:space="preserve">AIA VCC for a/c AIA OPPORTUNITIES FUND - CREDIT 2021</t>
  </si>
  <si>
    <t xml:space="preserve">AIA Credit Fund 2022</t>
  </si>
  <si>
    <t xml:space="preserve">Clearwater Special Situations Fund 2024, VCC</t>
  </si>
  <si>
    <t xml:space="preserve">Crestline Private Credit Fund 2022, L.P.</t>
  </si>
  <si>
    <t xml:space="preserve">AIA VCC for a/c Crestline Fund - Credit 2019</t>
  </si>
  <si>
    <t xml:space="preserve">Bellwether Private Debt Fund 2021, VCC</t>
  </si>
  <si>
    <t xml:space="preserve">Whitman Direct Lending Fund 2021, Offshore, L.P.</t>
  </si>
  <si>
    <t xml:space="preserve">Meridian Private Credit Fund 2020, VCC</t>
  </si>
  <si>
    <t xml:space="preserve">Summit Opportunistic Credit Fund 2021, Offshore, L.P.</t>
  </si>
  <si>
    <t xml:space="preserve">Meridian Opportunistic Credit Fund 2024, L.P.</t>
  </si>
  <si>
    <t xml:space="preserve">AIA VCC for a/c Whitman Fund - Credit 2024</t>
  </si>
  <si>
    <t xml:space="preserve">Coppermine Special Situations Fund 2021, L.P.</t>
  </si>
  <si>
    <t xml:space="preserve">Summit Private Credit Fund 2024, VCC</t>
  </si>
  <si>
    <t xml:space="preserve">Meridian Private Debt Fund 2022, Offshore, L.P.</t>
  </si>
  <si>
    <t xml:space="preserve">Subtotal – Institutional Designated Investors</t>
  </si>
  <si>
    <t xml:space="preserve">PWM Designated Investors</t>
  </si>
  <si>
    <t xml:space="preserve">1869 Private Opportunities Partners I, LP</t>
  </si>
  <si>
    <t xml:space="preserve">1869 Private Opportunities Partners I Offshore, SLP</t>
  </si>
  <si>
    <t xml:space="preserve">Subtotal – PWM Designated Investors</t>
  </si>
  <si>
    <t xml:space="preserve">Eligible Commitments</t>
  </si>
  <si>
    <t xml:space="preserve">Excluded Investors</t>
  </si>
  <si>
    <t xml:space="preserve">OX30598</t>
  </si>
  <si>
    <t xml:space="preserve">OX30659</t>
  </si>
  <si>
    <t xml:space="preserve">OX30749</t>
  </si>
  <si>
    <t xml:space="preserve">OX29849</t>
  </si>
  <si>
    <t xml:space="preserve">OX26870</t>
  </si>
  <si>
    <t xml:space="preserve">OX03620</t>
  </si>
  <si>
    <t xml:space="preserve">OX13792</t>
  </si>
  <si>
    <t xml:space="preserve">OX11005</t>
  </si>
  <si>
    <t xml:space="preserve">OX03225</t>
  </si>
  <si>
    <t xml:space="preserve">OX14304</t>
  </si>
  <si>
    <t xml:space="preserve">OX19234</t>
  </si>
  <si>
    <t xml:space="preserve">OX13832</t>
  </si>
  <si>
    <t xml:space="preserve">OX13679</t>
  </si>
  <si>
    <t xml:space="preserve">OX19046</t>
  </si>
  <si>
    <t xml:space="preserve">OX04288</t>
  </si>
  <si>
    <t xml:space="preserve">OX06060</t>
  </si>
  <si>
    <t xml:space="preserve">OX30747</t>
  </si>
  <si>
    <t xml:space="preserve">OX23399</t>
  </si>
  <si>
    <t xml:space="preserve">OX26143</t>
  </si>
  <si>
    <t xml:space="preserve">OX16823</t>
  </si>
  <si>
    <t xml:space="preserve">Subtotal – Excluded Investors</t>
  </si>
  <si>
    <t xml:space="preserve">Total Commitments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</si>
</sst>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$-409]#,##0;\-[$$-409]#,##0"/>
    <numFmt numFmtId="166" formatCode="0.0%"/>
    <numFmt numFmtId="167" formatCode="&quot;TRUE&quot;;&quot;TRUE&quot;;&quot;FALSE&quot;"/>
    <numFmt numFmtId="168" formatCode="0%"/>
    <numFmt numFmtId="169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50DFC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55269"/>
        <bgColor rgb="FF333333"/>
      </patternFill>
    </fill>
    <fill>
      <patternFill patternType="solid">
        <fgColor rgb="FFFFFFFF"/>
        <bgColor rgb="FFCCFFFF"/>
      </patternFill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0BB0F7"/>
        <bgColor rgb="FF33CCCC"/>
      </patternFill>
    </fill>
    <fill>
      <patternFill patternType="solid">
        <fgColor rgb="FF808080"/>
        <bgColor rgb="FF969696"/>
      </patternFill>
    </fill>
    <fill>
      <patternFill patternType="solid">
        <fgColor rgb="FF666666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5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8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5526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50DFC"/>
        </patternFill>
      </fill>
    </dxf>
  </dxfs>
  <colors>
    <indexedColors>
      <rgbColor rgb="FF000000"/>
      <rgbColor rgb="FFFFFFFF"/>
      <rgbColor rgb="FFFF0000"/>
      <rgbColor rgb="FF00FF00"/>
      <rgbColor rgb="FF050DF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7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BB0F7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.23"/>
    <col collapsed="false" customWidth="true" hidden="false" outlineLevel="0" max="2" min="2" style="1" width="53.55"/>
    <col collapsed="false" customWidth="true" hidden="false" outlineLevel="0" max="3" min="3" style="1" width="17.8"/>
    <col collapsed="false" customWidth="true" hidden="false" outlineLevel="0" max="4" min="4" style="1" width="14.46"/>
    <col collapsed="false" customWidth="true" hidden="false" outlineLevel="0" max="5" min="5" style="1" width="16.83"/>
    <col collapsed="false" customWidth="true" hidden="false" outlineLevel="0" max="6" min="6" style="2" width="16.55"/>
    <col collapsed="false" customWidth="true" hidden="false" outlineLevel="0" max="7" min="7" style="2" width="18.63"/>
    <col collapsed="false" customWidth="true" hidden="false" outlineLevel="0" max="8" min="8" style="1" width="17.29"/>
    <col collapsed="false" customWidth="true" hidden="false" outlineLevel="0" max="9" min="9" style="3" width="20.85"/>
    <col collapsed="false" customWidth="true" hidden="false" outlineLevel="0" max="10" min="10" style="3" width="19.88"/>
    <col collapsed="false" customWidth="true" hidden="false" outlineLevel="0" max="11" min="11" style="1" width="16.27"/>
    <col collapsed="false" customWidth="true" hidden="false" outlineLevel="0" max="12" min="12" style="4" width="17.38"/>
    <col collapsed="false" customWidth="true" hidden="false" outlineLevel="0" max="13" min="13" style="2" width="15.58"/>
    <col collapsed="false" customWidth="true" hidden="false" outlineLevel="0" max="14" min="14" style="3" width="16.57"/>
    <col collapsed="false" customWidth="true" hidden="false" outlineLevel="0" max="15" min="15" style="2" width="17.86"/>
    <col collapsed="false" customWidth="true" hidden="false" outlineLevel="0" max="16" min="16" style="3" width="16.83"/>
    <col collapsed="false" customWidth="false" hidden="false" outlineLevel="0" max="82" min="17" style="1" width="8.68"/>
    <col collapsed="false" customWidth="true" hidden="false" outlineLevel="0" max="16384" min="16382" style="1" width="11.53"/>
  </cols>
  <sheetData>
    <row r="1" s="5" customFormat="true" ht="12.8" hidden="false" customHeight="true" outlineLevel="0" collapsed="false">
      <c r="B1" s="6"/>
      <c r="C1" s="6"/>
      <c r="D1" s="6"/>
      <c r="E1" s="6"/>
      <c r="F1" s="7"/>
      <c r="G1" s="7"/>
      <c r="H1" s="6"/>
      <c r="I1" s="8"/>
      <c r="J1" s="8"/>
      <c r="K1" s="6"/>
      <c r="L1" s="9"/>
      <c r="M1" s="7"/>
      <c r="N1" s="8"/>
      <c r="O1" s="7"/>
      <c r="P1" s="8"/>
      <c r="Q1" s="1"/>
      <c r="R1" s="1"/>
      <c r="S1" s="1"/>
      <c r="T1" s="1"/>
      <c r="U1" s="1"/>
      <c r="V1" s="1"/>
      <c r="W1" s="1"/>
      <c r="X1" s="1"/>
      <c r="XFC1" s="1"/>
      <c r="XFD1" s="1"/>
    </row>
    <row r="2" s="5" customFormat="true" ht="20.85" hidden="false" customHeight="true" outlineLevel="0" collapsed="false">
      <c r="B2" s="10" t="s">
        <v>0</v>
      </c>
      <c r="C2" s="10"/>
      <c r="D2" s="10"/>
      <c r="E2" s="10"/>
      <c r="F2" s="11"/>
      <c r="G2" s="11"/>
      <c r="H2" s="10"/>
      <c r="I2" s="12"/>
      <c r="J2" s="12"/>
      <c r="K2" s="10"/>
      <c r="L2" s="13"/>
      <c r="M2" s="11"/>
      <c r="N2" s="12"/>
      <c r="O2" s="11"/>
      <c r="P2" s="12"/>
      <c r="Q2" s="1"/>
      <c r="R2" s="1"/>
      <c r="S2" s="1"/>
      <c r="T2" s="1"/>
      <c r="U2" s="1"/>
      <c r="V2" s="1"/>
      <c r="W2" s="1"/>
      <c r="X2" s="1"/>
      <c r="XFC2" s="1"/>
      <c r="XFD2" s="1"/>
    </row>
    <row r="3" s="5" customFormat="true" ht="12.8" hidden="false" customHeight="true" outlineLevel="0" collapsed="false">
      <c r="B3" s="6"/>
      <c r="C3" s="6"/>
      <c r="D3" s="6"/>
      <c r="E3" s="14" t="s">
        <v>1</v>
      </c>
      <c r="F3" s="7"/>
      <c r="G3" s="7"/>
      <c r="H3" s="6"/>
      <c r="I3" s="8"/>
      <c r="J3" s="8"/>
      <c r="K3" s="6"/>
      <c r="L3" s="9"/>
      <c r="M3" s="7"/>
      <c r="N3" s="8"/>
      <c r="O3" s="7"/>
      <c r="P3" s="8"/>
      <c r="Q3" s="1"/>
      <c r="R3" s="1"/>
      <c r="S3" s="1"/>
      <c r="T3" s="1"/>
      <c r="U3" s="1"/>
      <c r="V3" s="1"/>
      <c r="W3" s="1"/>
      <c r="X3" s="1"/>
      <c r="XFC3" s="1"/>
      <c r="XFD3" s="1"/>
    </row>
    <row r="4" s="5" customFormat="true" ht="12.8" hidden="false" customHeight="true" outlineLevel="0" collapsed="false">
      <c r="B4" s="15" t="s">
        <v>2</v>
      </c>
      <c r="C4" s="16" t="n">
        <f aca="false">O81</f>
        <v>10764017102</v>
      </c>
      <c r="D4" s="17"/>
      <c r="E4" s="18" t="s">
        <v>3</v>
      </c>
      <c r="F4" s="19"/>
      <c r="G4" s="19"/>
      <c r="H4" s="20"/>
      <c r="I4" s="21"/>
      <c r="J4" s="21"/>
      <c r="K4" s="20"/>
      <c r="L4" s="22"/>
      <c r="M4" s="19"/>
      <c r="N4" s="21"/>
      <c r="O4" s="19"/>
      <c r="P4" s="21"/>
      <c r="Q4" s="1"/>
      <c r="R4" s="1"/>
      <c r="S4" s="1"/>
      <c r="T4" s="1"/>
      <c r="U4" s="1"/>
      <c r="V4" s="1"/>
      <c r="W4" s="1"/>
      <c r="X4" s="1"/>
      <c r="XFC4" s="1"/>
      <c r="XFD4" s="1"/>
    </row>
    <row r="5" s="5" customFormat="true" ht="12.8" hidden="false" customHeight="true" outlineLevel="0" collapsed="false">
      <c r="B5" s="23" t="s">
        <v>4</v>
      </c>
      <c r="C5" s="24" t="n">
        <f aca="false">G81</f>
        <v>12420230396</v>
      </c>
      <c r="D5" s="17"/>
      <c r="E5" s="25" t="s">
        <v>5</v>
      </c>
      <c r="F5" s="19"/>
      <c r="G5" s="19"/>
      <c r="H5" s="20"/>
      <c r="I5" s="21"/>
      <c r="J5" s="21"/>
      <c r="K5" s="20"/>
      <c r="L5" s="22"/>
      <c r="M5" s="19"/>
      <c r="N5" s="21"/>
      <c r="O5" s="19"/>
      <c r="P5" s="21"/>
      <c r="Q5" s="1"/>
      <c r="R5" s="1"/>
      <c r="S5" s="1"/>
      <c r="T5" s="1"/>
      <c r="U5" s="1"/>
      <c r="V5" s="1"/>
      <c r="W5" s="1"/>
      <c r="X5" s="1"/>
      <c r="XFC5" s="1"/>
      <c r="XFD5" s="1"/>
    </row>
    <row r="6" s="5" customFormat="true" ht="12.8" hidden="false" customHeight="true" outlineLevel="0" collapsed="false">
      <c r="B6" s="23" t="s">
        <v>6</v>
      </c>
      <c r="C6" s="24" t="n">
        <f aca="false">G106</f>
        <v>12491495101</v>
      </c>
      <c r="D6" s="17"/>
      <c r="E6" s="26" t="s">
        <v>7</v>
      </c>
      <c r="F6" s="19"/>
      <c r="G6" s="19"/>
      <c r="H6" s="20"/>
      <c r="I6" s="21"/>
      <c r="J6" s="21"/>
      <c r="K6" s="20"/>
      <c r="L6" s="22"/>
      <c r="M6" s="19"/>
      <c r="N6" s="21"/>
      <c r="O6" s="19"/>
      <c r="P6" s="21"/>
      <c r="Q6" s="1"/>
      <c r="R6" s="1"/>
      <c r="S6" s="1"/>
      <c r="T6" s="1"/>
      <c r="U6" s="1"/>
      <c r="V6" s="1"/>
      <c r="W6" s="1"/>
      <c r="X6" s="1"/>
      <c r="XFC6" s="1"/>
      <c r="XFD6" s="1"/>
    </row>
    <row r="7" s="5" customFormat="true" ht="12.8" hidden="false" customHeight="true" outlineLevel="0" collapsed="false">
      <c r="B7" s="23" t="s">
        <v>8</v>
      </c>
      <c r="C7" s="24" t="n">
        <f aca="false">F106</f>
        <v>22919734325</v>
      </c>
      <c r="D7" s="17"/>
      <c r="E7" s="27"/>
      <c r="F7" s="19"/>
      <c r="G7" s="19"/>
      <c r="H7" s="20"/>
      <c r="I7" s="21"/>
      <c r="J7" s="21"/>
      <c r="K7" s="20"/>
      <c r="L7" s="22"/>
      <c r="M7" s="19"/>
      <c r="N7" s="21"/>
      <c r="O7" s="19"/>
      <c r="P7" s="21"/>
      <c r="Q7" s="1"/>
      <c r="R7" s="1"/>
      <c r="S7" s="1"/>
      <c r="T7" s="1"/>
      <c r="U7" s="1"/>
      <c r="V7" s="1"/>
      <c r="W7" s="1"/>
      <c r="X7" s="1"/>
      <c r="XFC7" s="1"/>
      <c r="XFD7" s="1"/>
    </row>
    <row r="8" s="5" customFormat="true" ht="12.8" hidden="false" customHeight="true" outlineLevel="0" collapsed="false">
      <c r="B8" s="23" t="s">
        <v>9</v>
      </c>
      <c r="C8" s="28" t="n">
        <f aca="false">C4/C6</f>
        <v>0.861707667094093</v>
      </c>
      <c r="D8" s="17"/>
      <c r="E8" s="17"/>
      <c r="F8" s="19"/>
      <c r="G8" s="19"/>
      <c r="H8" s="20"/>
      <c r="I8" s="21"/>
      <c r="J8" s="21"/>
      <c r="K8" s="20"/>
      <c r="L8" s="22"/>
      <c r="M8" s="19"/>
      <c r="N8" s="21"/>
      <c r="O8" s="19"/>
      <c r="P8" s="21"/>
      <c r="Q8" s="1"/>
      <c r="R8" s="1"/>
      <c r="S8" s="1"/>
      <c r="T8" s="1"/>
      <c r="U8" s="1"/>
      <c r="V8" s="1"/>
      <c r="W8" s="1"/>
      <c r="X8" s="1"/>
      <c r="XFC8" s="1"/>
      <c r="XFD8" s="1"/>
    </row>
    <row r="9" s="5" customFormat="true" ht="12.8" hidden="false" customHeight="true" outlineLevel="0" collapsed="false">
      <c r="B9" s="29" t="s">
        <v>10</v>
      </c>
      <c r="C9" s="30" t="n">
        <f aca="false">TRUE()</f>
        <v>1</v>
      </c>
      <c r="D9" s="17"/>
      <c r="E9" s="17"/>
      <c r="F9" s="19"/>
      <c r="G9" s="19"/>
      <c r="H9" s="20"/>
      <c r="I9" s="21"/>
      <c r="J9" s="21"/>
      <c r="K9" s="20"/>
      <c r="L9" s="22"/>
      <c r="M9" s="19"/>
      <c r="N9" s="21"/>
      <c r="O9" s="19"/>
      <c r="P9" s="21"/>
      <c r="Q9" s="1"/>
      <c r="R9" s="1"/>
      <c r="S9" s="1"/>
      <c r="T9" s="1"/>
      <c r="U9" s="1"/>
      <c r="V9" s="1"/>
      <c r="W9" s="1"/>
      <c r="X9" s="1"/>
      <c r="XFC9" s="1"/>
      <c r="XFD9" s="1"/>
    </row>
    <row r="10" s="5" customFormat="true" ht="12.8" hidden="false" customHeight="true" outlineLevel="0" collapsed="false">
      <c r="B10" s="20"/>
      <c r="C10" s="20"/>
      <c r="D10" s="20"/>
      <c r="E10" s="20"/>
      <c r="F10" s="19"/>
      <c r="G10" s="19"/>
      <c r="H10" s="20"/>
      <c r="I10" s="21"/>
      <c r="J10" s="21"/>
      <c r="K10" s="20"/>
      <c r="L10" s="22"/>
      <c r="M10" s="19"/>
      <c r="N10" s="21"/>
      <c r="O10" s="19"/>
      <c r="P10" s="21"/>
      <c r="Q10" s="1"/>
      <c r="R10" s="1"/>
      <c r="S10" s="1"/>
      <c r="T10" s="1"/>
      <c r="U10" s="1"/>
      <c r="V10" s="1"/>
      <c r="W10" s="1"/>
      <c r="X10" s="1"/>
      <c r="XFC10" s="1"/>
      <c r="XFD10" s="1"/>
    </row>
    <row r="11" s="31" customFormat="true" ht="47" hidden="false" customHeight="true" outlineLevel="0" collapsed="false">
      <c r="B11" s="32" t="s">
        <v>11</v>
      </c>
      <c r="C11" s="32" t="s">
        <v>12</v>
      </c>
      <c r="D11" s="32" t="s">
        <v>13</v>
      </c>
      <c r="E11" s="32" t="s">
        <v>14</v>
      </c>
      <c r="F11" s="33" t="s">
        <v>15</v>
      </c>
      <c r="G11" s="33" t="s">
        <v>16</v>
      </c>
      <c r="H11" s="32" t="s">
        <v>17</v>
      </c>
      <c r="I11" s="34" t="s">
        <v>18</v>
      </c>
      <c r="J11" s="34" t="s">
        <v>19</v>
      </c>
      <c r="K11" s="32" t="s">
        <v>20</v>
      </c>
      <c r="L11" s="35" t="s">
        <v>21</v>
      </c>
      <c r="M11" s="33" t="s">
        <v>22</v>
      </c>
      <c r="N11" s="34" t="s">
        <v>23</v>
      </c>
      <c r="O11" s="33" t="s">
        <v>24</v>
      </c>
      <c r="P11" s="34" t="s">
        <v>25</v>
      </c>
      <c r="Q11" s="36"/>
      <c r="R11" s="36"/>
      <c r="S11" s="36"/>
      <c r="T11" s="36"/>
      <c r="U11" s="36"/>
      <c r="V11" s="36"/>
      <c r="W11" s="36"/>
      <c r="X11" s="36"/>
      <c r="XFC11" s="1"/>
      <c r="XFD11" s="1"/>
    </row>
    <row r="12" s="37" customFormat="true" ht="13.8" hidden="false" customHeight="false" outlineLevel="0" collapsed="false">
      <c r="B12" s="38"/>
      <c r="C12" s="38"/>
      <c r="D12" s="38"/>
      <c r="E12" s="38"/>
      <c r="F12" s="39"/>
      <c r="G12" s="39"/>
      <c r="H12" s="38"/>
      <c r="I12" s="40"/>
      <c r="J12" s="40"/>
      <c r="K12" s="38"/>
      <c r="L12" s="41"/>
      <c r="M12" s="39"/>
      <c r="N12" s="40"/>
      <c r="O12" s="39"/>
      <c r="P12" s="40"/>
      <c r="Q12" s="1"/>
      <c r="R12" s="1"/>
      <c r="S12" s="1"/>
      <c r="T12" s="1"/>
      <c r="U12" s="1"/>
      <c r="V12" s="1"/>
      <c r="W12" s="1"/>
      <c r="X12" s="1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XFC12" s="1"/>
      <c r="XFD12" s="1"/>
    </row>
    <row r="13" s="37" customFormat="true" ht="13.8" hidden="false" customHeight="false" outlineLevel="0" collapsed="false">
      <c r="B13" s="42" t="s">
        <v>26</v>
      </c>
      <c r="C13" s="42"/>
      <c r="D13" s="42"/>
      <c r="E13" s="42"/>
      <c r="F13" s="43"/>
      <c r="G13" s="43"/>
      <c r="H13" s="42"/>
      <c r="I13" s="44"/>
      <c r="J13" s="44"/>
      <c r="K13" s="42"/>
      <c r="L13" s="45"/>
      <c r="M13" s="43"/>
      <c r="N13" s="44"/>
      <c r="O13" s="43"/>
      <c r="P13" s="44"/>
      <c r="Q13" s="46"/>
      <c r="R13" s="46"/>
      <c r="S13" s="46"/>
      <c r="T13" s="46"/>
      <c r="U13" s="46"/>
      <c r="V13" s="46"/>
      <c r="W13" s="46"/>
      <c r="X13" s="46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XFC13" s="1"/>
      <c r="XFD13" s="1"/>
    </row>
    <row r="14" s="5" customFormat="true" ht="13.8" hidden="false" customHeight="false" outlineLevel="0" collapsed="false">
      <c r="A14" s="1"/>
      <c r="B14" s="1" t="s">
        <v>27</v>
      </c>
      <c r="C14" s="1" t="s">
        <v>28</v>
      </c>
      <c r="D14" s="1" t="s">
        <v>29</v>
      </c>
      <c r="E14" s="1"/>
      <c r="F14" s="2" t="n">
        <v>2500000000</v>
      </c>
      <c r="G14" s="2" t="n">
        <v>1467185562</v>
      </c>
      <c r="H14" s="47" t="n">
        <f aca="false">IFERROR(IF(G14="","",1-G14/F14),0)</f>
        <v>0.4131257752</v>
      </c>
      <c r="I14" s="3" t="n">
        <f aca="false">IFERROR(G14/C6, "")</f>
        <v>0.117454760229826</v>
      </c>
      <c r="J14" s="3" t="n">
        <f aca="false">IFERROR(G14/$C$5,"")</f>
        <v>0.118128691273917</v>
      </c>
      <c r="K14" s="47" t="n">
        <v>0.4</v>
      </c>
      <c r="L14" s="4" t="n">
        <f aca="false">IF(K14="","",IF(J14&gt;K14,(J14-K14)*$C$5,0))</f>
        <v>0</v>
      </c>
      <c r="M14" s="2" t="n">
        <v>1467185562</v>
      </c>
      <c r="N14" s="3" t="n">
        <f aca="false">N42</f>
        <v>0.9</v>
      </c>
      <c r="O14" s="2" t="n">
        <v>1320467006</v>
      </c>
      <c r="P14" s="3" t="n">
        <f aca="false">IFERROR(IF(F14=0,"",O14/$O$81)*($O$42/SUM($O$14:$O$41)),"")</f>
        <v>0.122674183205697</v>
      </c>
      <c r="Q14" s="1"/>
      <c r="R14" s="1"/>
      <c r="S14" s="1"/>
      <c r="T14" s="1"/>
      <c r="U14" s="1"/>
      <c r="V14" s="1"/>
      <c r="W14" s="1"/>
      <c r="X14" s="1"/>
      <c r="XFC14" s="1"/>
      <c r="XFD14" s="1"/>
    </row>
    <row r="15" s="5" customFormat="true" ht="13.8" hidden="false" customHeight="false" outlineLevel="0" collapsed="false">
      <c r="A15" s="1"/>
      <c r="B15" s="1" t="s">
        <v>30</v>
      </c>
      <c r="C15" s="1" t="s">
        <v>28</v>
      </c>
      <c r="D15" s="1" t="s">
        <v>31</v>
      </c>
      <c r="E15" s="1"/>
      <c r="F15" s="2" t="n">
        <v>300000000</v>
      </c>
      <c r="G15" s="2" t="n">
        <v>175849921</v>
      </c>
      <c r="H15" s="47" t="n">
        <f aca="false">IFERROR(IF(G15="","",1-G15/F15),0)</f>
        <v>0.413833596666667</v>
      </c>
      <c r="I15" s="3" t="n">
        <f aca="false">IFERROR(G15/C6, "")</f>
        <v>0.0140775719462054</v>
      </c>
      <c r="J15" s="3" t="n">
        <f aca="false">IFERROR(G15/$C$5,"")</f>
        <v>0.0141583461331469</v>
      </c>
      <c r="K15" s="47" t="n">
        <v>0.2</v>
      </c>
      <c r="L15" s="4" t="n">
        <f aca="false">IF(K15="","",IF(J15&gt;K15,(J15-K15)*$C$5,0))</f>
        <v>0</v>
      </c>
      <c r="M15" s="2" t="n">
        <v>175849921</v>
      </c>
      <c r="N15" s="3" t="n">
        <f aca="false">$N$42</f>
        <v>0.9</v>
      </c>
      <c r="O15" s="2" t="n">
        <v>158264929</v>
      </c>
      <c r="P15" s="3" t="n">
        <f aca="false">IFERROR(IF(F15=0,"",O15/$O$81)*($O$42/SUM($O$14:$O$41)),"")</f>
        <v>0.0147031473008895</v>
      </c>
      <c r="Q15" s="1"/>
      <c r="R15" s="1"/>
      <c r="S15" s="1"/>
      <c r="T15" s="1"/>
      <c r="U15" s="1"/>
      <c r="V15" s="1"/>
      <c r="W15" s="1"/>
      <c r="X15" s="1"/>
      <c r="XFC15" s="1"/>
      <c r="XFD15" s="1"/>
    </row>
    <row r="16" s="5" customFormat="true" ht="13.8" hidden="false" customHeight="false" outlineLevel="0" collapsed="false">
      <c r="A16" s="1"/>
      <c r="B16" s="1" t="s">
        <v>32</v>
      </c>
      <c r="C16" s="1" t="s">
        <v>33</v>
      </c>
      <c r="D16" s="1" t="s">
        <v>31</v>
      </c>
      <c r="E16" s="1"/>
      <c r="F16" s="2" t="n">
        <v>9500000</v>
      </c>
      <c r="G16" s="2" t="n">
        <v>5575304</v>
      </c>
      <c r="H16" s="47" t="n">
        <f aca="false">IFERROR(IF(G16="","",1-G16/F16),0)</f>
        <v>0.413125894736842</v>
      </c>
      <c r="I16" s="3" t="n">
        <f aca="false">IFERROR(G16/C6, "")</f>
        <v>0.000446327997963484</v>
      </c>
      <c r="J16" s="3" t="n">
        <f aca="false">IFERROR(G16/$C$5,"")</f>
        <v>0.000448888935409407</v>
      </c>
      <c r="K16" s="47" t="n">
        <v>0.2</v>
      </c>
      <c r="L16" s="4" t="n">
        <f aca="false">IF(K16="","",IF(J16&gt;K16,(J16-K16)*$C$5,0))</f>
        <v>0</v>
      </c>
      <c r="M16" s="2" t="n">
        <v>5575304</v>
      </c>
      <c r="N16" s="3" t="n">
        <f aca="false">$N$42</f>
        <v>0.9</v>
      </c>
      <c r="O16" s="2" t="n">
        <v>5017774</v>
      </c>
      <c r="P16" s="3" t="n">
        <f aca="false">IFERROR(IF(F16=0,"",O16/$O$81)*($O$42/SUM($O$14:$O$41)),"")</f>
        <v>0.000466161838322207</v>
      </c>
      <c r="Q16" s="1"/>
      <c r="R16" s="1"/>
      <c r="S16" s="1"/>
      <c r="T16" s="1"/>
      <c r="U16" s="1"/>
      <c r="V16" s="1"/>
      <c r="W16" s="1"/>
      <c r="X16" s="1"/>
      <c r="XFC16" s="1"/>
      <c r="XFD16" s="1"/>
    </row>
    <row r="17" s="5" customFormat="true" ht="13.8" hidden="false" customHeight="false" outlineLevel="0" collapsed="false">
      <c r="A17" s="1"/>
      <c r="B17" s="1" t="s">
        <v>34</v>
      </c>
      <c r="C17" s="1" t="s">
        <v>35</v>
      </c>
      <c r="D17" s="1" t="s">
        <v>36</v>
      </c>
      <c r="E17" s="1"/>
      <c r="F17" s="2" t="n">
        <v>45000000</v>
      </c>
      <c r="G17" s="2" t="n">
        <v>20665135</v>
      </c>
      <c r="H17" s="47" t="n">
        <f aca="false">IFERROR(IF(G17="","",1-G17/F17),0)</f>
        <v>0.540774777777778</v>
      </c>
      <c r="I17" s="3" t="n">
        <f aca="false">IFERROR(G17/C6, "")</f>
        <v>0.00165433639711756</v>
      </c>
      <c r="J17" s="3" t="n">
        <f aca="false">IFERROR(G17/$C$5,"")</f>
        <v>0.00166382863611413</v>
      </c>
      <c r="K17" s="47" t="n">
        <v>0.2</v>
      </c>
      <c r="L17" s="4" t="n">
        <f aca="false">IF(K17="","",IF(J17&gt;K17,(J17-K17)*$C$5,0))</f>
        <v>0</v>
      </c>
      <c r="M17" s="2" t="n">
        <v>20665135</v>
      </c>
      <c r="N17" s="3" t="n">
        <f aca="false">$N$42</f>
        <v>0.9</v>
      </c>
      <c r="O17" s="2" t="n">
        <v>18598622</v>
      </c>
      <c r="P17" s="3" t="n">
        <f aca="false">IFERROR(IF(F17=0,"",O17/$O$81)*($O$42/SUM($O$14:$O$41)),"")</f>
        <v>0.00172785139820563</v>
      </c>
      <c r="Q17" s="1"/>
      <c r="R17" s="1"/>
      <c r="S17" s="1"/>
      <c r="T17" s="1"/>
      <c r="U17" s="1"/>
      <c r="V17" s="1"/>
      <c r="W17" s="1"/>
      <c r="X17" s="1"/>
      <c r="XFC17" s="1"/>
      <c r="XFD17" s="1"/>
    </row>
    <row r="18" s="5" customFormat="true" ht="13.8" hidden="false" customHeight="false" outlineLevel="0" collapsed="false">
      <c r="A18" s="1"/>
      <c r="B18" s="1" t="s">
        <v>37</v>
      </c>
      <c r="C18" s="1" t="s">
        <v>35</v>
      </c>
      <c r="D18" s="1" t="s">
        <v>38</v>
      </c>
      <c r="E18" s="1"/>
      <c r="F18" s="2" t="n">
        <v>3500000</v>
      </c>
      <c r="G18" s="2" t="n">
        <v>2054059</v>
      </c>
      <c r="H18" s="47" t="n">
        <f aca="false">IFERROR(IF(G18="","",1-G18/F18),0)</f>
        <v>0.413126</v>
      </c>
      <c r="I18" s="3" t="n">
        <f aca="false">IFERROR(G18/C6, "")</f>
        <v>0.000164436601334901</v>
      </c>
      <c r="J18" s="3" t="n">
        <f aca="false">IFERROR(G18/$C$5,"")</f>
        <v>0.000165380104435222</v>
      </c>
      <c r="K18" s="47" t="n">
        <v>0.2</v>
      </c>
      <c r="L18" s="4" t="n">
        <f aca="false">IF(K18="","",IF(J18&gt;K18,(J18-K18)*$C$5,0))</f>
        <v>0</v>
      </c>
      <c r="M18" s="2" t="n">
        <v>2054059</v>
      </c>
      <c r="N18" s="3" t="n">
        <f aca="false">$N$42</f>
        <v>0.9</v>
      </c>
      <c r="O18" s="2" t="n">
        <v>1848653</v>
      </c>
      <c r="P18" s="3" t="n">
        <f aca="false">IFERROR(IF(F18=0,"",O18/$O$81)*($O$42/SUM($O$14:$O$41)),"")</f>
        <v>0.000171743781385902</v>
      </c>
      <c r="Q18" s="1"/>
      <c r="R18" s="1"/>
      <c r="S18" s="1"/>
      <c r="T18" s="1"/>
      <c r="U18" s="1"/>
      <c r="V18" s="1"/>
      <c r="W18" s="1"/>
      <c r="X18" s="1"/>
      <c r="XFC18" s="1"/>
      <c r="XFD18" s="1"/>
    </row>
    <row r="19" s="5" customFormat="true" ht="13.8" hidden="false" customHeight="false" outlineLevel="0" collapsed="false">
      <c r="A19" s="1"/>
      <c r="B19" s="1" t="s">
        <v>39</v>
      </c>
      <c r="C19" s="1" t="s">
        <v>40</v>
      </c>
      <c r="D19" s="1" t="s">
        <v>31</v>
      </c>
      <c r="E19" s="1"/>
      <c r="F19" s="2" t="n">
        <v>100000000</v>
      </c>
      <c r="G19" s="2" t="n">
        <v>58616639</v>
      </c>
      <c r="H19" s="47" t="n">
        <f aca="false">IFERROR(IF(G19="","",1-G19/F19),0)</f>
        <v>0.41383361</v>
      </c>
      <c r="I19" s="3" t="n">
        <f aca="false">IFERROR(G19/C6, "")</f>
        <v>0.00469252387532918</v>
      </c>
      <c r="J19" s="3" t="n">
        <f aca="false">IFERROR(G19/$C$5,"")</f>
        <v>0.00471944860369722</v>
      </c>
      <c r="K19" s="47" t="n">
        <v>0.2</v>
      </c>
      <c r="L19" s="4" t="n">
        <f aca="false">IF(K19="","",IF(J19&gt;K19,(J19-K19)*$C$5,0))</f>
        <v>0</v>
      </c>
      <c r="M19" s="2" t="n">
        <v>58616639</v>
      </c>
      <c r="N19" s="3" t="n">
        <f aca="false">$N$42</f>
        <v>0.9</v>
      </c>
      <c r="O19" s="2" t="n">
        <v>52754975</v>
      </c>
      <c r="P19" s="3" t="n">
        <f aca="false">IFERROR(IF(F19=0,"",O19/$O$81)*($O$42/SUM($O$14:$O$41)),"")</f>
        <v>0.00490104897642702</v>
      </c>
      <c r="Q19" s="1"/>
      <c r="R19" s="1"/>
      <c r="S19" s="1"/>
      <c r="T19" s="1"/>
      <c r="U19" s="1"/>
      <c r="V19" s="1"/>
      <c r="W19" s="1"/>
      <c r="X19" s="1"/>
      <c r="XFC19" s="1"/>
      <c r="XFD19" s="1"/>
    </row>
    <row r="20" customFormat="false" ht="13.8" hidden="false" customHeight="false" outlineLevel="0" collapsed="false">
      <c r="B20" s="1" t="s">
        <v>41</v>
      </c>
      <c r="C20" s="1" t="s">
        <v>33</v>
      </c>
      <c r="D20" s="1" t="s">
        <v>36</v>
      </c>
      <c r="F20" s="2" t="n">
        <v>10000000</v>
      </c>
      <c r="G20" s="2" t="n">
        <v>4592252</v>
      </c>
      <c r="H20" s="47" t="n">
        <f aca="false">IFERROR(IF(G20="","",1-G20/F20),0)</f>
        <v>0.5407748</v>
      </c>
      <c r="I20" s="3" t="n">
        <f aca="false">IFERROR(G20/C6, "")</f>
        <v>0.000367630292680687</v>
      </c>
      <c r="J20" s="3" t="n">
        <f aca="false">IFERROR(G20/$C$5,"")</f>
        <v>0.000369739679022296</v>
      </c>
      <c r="K20" s="47" t="n">
        <v>0.2</v>
      </c>
      <c r="L20" s="4" t="n">
        <f aca="false">IF(K20="","",IF(J20&gt;K20,(J20-K20)*$C$5,0))</f>
        <v>0</v>
      </c>
      <c r="M20" s="2" t="n">
        <v>4592252</v>
      </c>
      <c r="N20" s="3" t="n">
        <f aca="false">$N$42</f>
        <v>0.9</v>
      </c>
      <c r="O20" s="2" t="n">
        <v>4133027</v>
      </c>
      <c r="P20" s="3" t="n">
        <f aca="false">IFERROR(IF(F20=0,"",O20/$O$81)*($O$42/SUM($O$14:$O$41)),"")</f>
        <v>0.000383966967056571</v>
      </c>
    </row>
    <row r="21" customFormat="false" ht="13.8" hidden="false" customHeight="false" outlineLevel="0" collapsed="false">
      <c r="B21" s="1" t="s">
        <v>42</v>
      </c>
      <c r="C21" s="1" t="s">
        <v>43</v>
      </c>
      <c r="D21" s="1" t="s">
        <v>31</v>
      </c>
      <c r="F21" s="2" t="n">
        <v>20000000</v>
      </c>
      <c r="G21" s="2" t="n">
        <v>11723326</v>
      </c>
      <c r="H21" s="47" t="n">
        <f aca="false">IFERROR(IF(G21="","",1-G21/F21),0)</f>
        <v>0.4138337</v>
      </c>
      <c r="I21" s="3" t="n">
        <f aca="false">IFERROR(G21/C6, "")</f>
        <v>0.000938504630967793</v>
      </c>
      <c r="J21" s="3" t="n">
        <f aca="false">IFERROR(G21/$C$5,"")</f>
        <v>0.000943889575814597</v>
      </c>
      <c r="K21" s="47" t="n">
        <v>0.2</v>
      </c>
      <c r="L21" s="4" t="n">
        <f aca="false">IF(K21="","",IF(J21&gt;K21,(J21-K21)*$C$5,0))</f>
        <v>0</v>
      </c>
      <c r="M21" s="2" t="n">
        <v>11723326</v>
      </c>
      <c r="N21" s="3" t="n">
        <f aca="false">$N$42</f>
        <v>0.9</v>
      </c>
      <c r="O21" s="2" t="n">
        <v>10550993</v>
      </c>
      <c r="P21" s="3" t="n">
        <f aca="false">IFERROR(IF(F21=0,"",O21/$O$81)*($O$42/SUM($O$14:$O$41)),"")</f>
        <v>0.000980209609481165</v>
      </c>
    </row>
    <row r="22" customFormat="false" ht="13.8" hidden="false" customHeight="false" outlineLevel="0" collapsed="false">
      <c r="B22" s="1" t="s">
        <v>44</v>
      </c>
      <c r="C22" s="1" t="s">
        <v>45</v>
      </c>
      <c r="D22" s="1" t="s">
        <v>31</v>
      </c>
      <c r="F22" s="2" t="n">
        <v>15000000</v>
      </c>
      <c r="G22" s="2" t="n">
        <v>8792496</v>
      </c>
      <c r="H22" s="47" t="n">
        <f aca="false">IFERROR(IF(G22="","",1-G22/F22),0)</f>
        <v>0.4138336</v>
      </c>
      <c r="I22" s="3" t="n">
        <f aca="false">IFERROR(G22/C6, "")</f>
        <v>0.000703878593307547</v>
      </c>
      <c r="J22" s="3" t="n">
        <f aca="false">IFERROR(G22/$C$5,"")</f>
        <v>0.000707917302631654</v>
      </c>
      <c r="K22" s="47" t="n">
        <v>0.2</v>
      </c>
      <c r="L22" s="4" t="n">
        <f aca="false">IF(K22="","",IF(J22&gt;K22,(J22-K22)*$C$5,0))</f>
        <v>0</v>
      </c>
      <c r="M22" s="2" t="n">
        <v>8792496</v>
      </c>
      <c r="N22" s="3" t="n">
        <f aca="false">$N$42</f>
        <v>0.9</v>
      </c>
      <c r="O22" s="2" t="n">
        <v>7913246</v>
      </c>
      <c r="P22" s="3" t="n">
        <f aca="false">IFERROR(IF(F22=0,"",O22/$O$81)*($O$42/SUM($O$14:$O$41)),"")</f>
        <v>0.000735157323238523</v>
      </c>
    </row>
    <row r="23" customFormat="false" ht="13.8" hidden="false" customHeight="false" outlineLevel="0" collapsed="false">
      <c r="B23" s="1" t="s">
        <v>46</v>
      </c>
      <c r="C23" s="1" t="s">
        <v>43</v>
      </c>
      <c r="D23" s="1" t="s">
        <v>31</v>
      </c>
      <c r="F23" s="2" t="n">
        <v>10000000</v>
      </c>
      <c r="G23" s="2" t="n">
        <v>4592252</v>
      </c>
      <c r="H23" s="47" t="n">
        <f aca="false">IFERROR(IF(G23="","",1-G23/F23),0)</f>
        <v>0.5407748</v>
      </c>
      <c r="I23" s="3" t="n">
        <f aca="false">IFERROR(G23/C6, "")</f>
        <v>0.000367630292680687</v>
      </c>
      <c r="J23" s="3" t="n">
        <f aca="false">IFERROR(G23/$C$5,"")</f>
        <v>0.000369739679022296</v>
      </c>
      <c r="K23" s="47" t="n">
        <v>0.2</v>
      </c>
      <c r="L23" s="4" t="n">
        <f aca="false">IF(K23="","",IF(J23&gt;K23,(J23-K23)*$C$5,0))</f>
        <v>0</v>
      </c>
      <c r="M23" s="2" t="n">
        <v>4592252</v>
      </c>
      <c r="N23" s="3" t="n">
        <f aca="false">$N$42</f>
        <v>0.9</v>
      </c>
      <c r="O23" s="2" t="n">
        <v>4133027</v>
      </c>
      <c r="P23" s="3" t="n">
        <f aca="false">IFERROR(IF(F23=0,"",O23/$O$81)*($O$42/SUM($O$14:$O$41)),"")</f>
        <v>0.000383966967056571</v>
      </c>
    </row>
    <row r="24" customFormat="false" ht="13.8" hidden="false" customHeight="false" outlineLevel="0" collapsed="false">
      <c r="B24" s="1" t="s">
        <v>47</v>
      </c>
      <c r="C24" s="1" t="s">
        <v>45</v>
      </c>
      <c r="D24" s="1" t="s">
        <v>31</v>
      </c>
      <c r="F24" s="2" t="n">
        <v>200000000</v>
      </c>
      <c r="G24" s="2" t="n">
        <v>117233280</v>
      </c>
      <c r="H24" s="47" t="n">
        <f aca="false">IFERROR(IF(G24="","",1-G24/F24),0)</f>
        <v>0.4138336</v>
      </c>
      <c r="I24" s="3" t="n">
        <f aca="false">IFERROR(G24/C6, "")</f>
        <v>0.0093850479107673</v>
      </c>
      <c r="J24" s="3" t="n">
        <f aca="false">IFERROR(G24/$C$5,"")</f>
        <v>0.00943889736842205</v>
      </c>
      <c r="K24" s="47" t="n">
        <v>0.2</v>
      </c>
      <c r="L24" s="4" t="n">
        <f aca="false">IF(K24="","",IF(J24&gt;K24,(J24-K24)*$C$5,0))</f>
        <v>0</v>
      </c>
      <c r="M24" s="2" t="n">
        <v>117233280</v>
      </c>
      <c r="N24" s="3" t="n">
        <f aca="false">$N$42</f>
        <v>0.9</v>
      </c>
      <c r="O24" s="2" t="n">
        <v>105509952</v>
      </c>
      <c r="P24" s="3" t="n">
        <f aca="false">IFERROR(IF(F24=0,"",O24/$O$81)*($O$42/SUM($O$14:$O$41)),"")</f>
        <v>0.00980209813865827</v>
      </c>
    </row>
    <row r="25" customFormat="false" ht="13.8" hidden="false" customHeight="false" outlineLevel="0" collapsed="false">
      <c r="B25" s="1" t="s">
        <v>48</v>
      </c>
      <c r="C25" s="1" t="s">
        <v>49</v>
      </c>
      <c r="D25" s="1" t="s">
        <v>50</v>
      </c>
      <c r="F25" s="2" t="n">
        <v>458000000</v>
      </c>
      <c r="G25" s="2" t="n">
        <v>210325050</v>
      </c>
      <c r="H25" s="47" t="n">
        <f aca="false">IFERROR(IF(G25="","",1-G25/F25),0)</f>
        <v>0.540775</v>
      </c>
      <c r="I25" s="3" t="n">
        <f aca="false">IFERROR(G25/C6, "")</f>
        <v>0.0168374600717862</v>
      </c>
      <c r="J25" s="3" t="n">
        <f aca="false">IFERROR(G25/$C$5,"")</f>
        <v>0.0169340699241567</v>
      </c>
      <c r="K25" s="47" t="n">
        <v>0.2</v>
      </c>
      <c r="L25" s="4" t="n">
        <f aca="false">IF(K25="","",IF(J25&gt;K25,(J25-K25)*$C$5,0))</f>
        <v>0</v>
      </c>
      <c r="M25" s="2" t="n">
        <v>210325050</v>
      </c>
      <c r="N25" s="3" t="n">
        <f aca="false">$N$42</f>
        <v>0.9</v>
      </c>
      <c r="O25" s="2" t="n">
        <v>189292545</v>
      </c>
      <c r="P25" s="3" t="n">
        <f aca="false">IFERROR(IF(F25=0,"",O25/$O$81)*($O$42/SUM($O$14:$O$41)),"")</f>
        <v>0.0175856785813568</v>
      </c>
    </row>
    <row r="26" customFormat="false" ht="13.8" hidden="false" customHeight="false" outlineLevel="0" collapsed="false">
      <c r="B26" s="1" t="s">
        <v>51</v>
      </c>
      <c r="C26" s="1" t="s">
        <v>33</v>
      </c>
      <c r="D26" s="1" t="s">
        <v>50</v>
      </c>
      <c r="F26" s="2" t="n">
        <v>712000000</v>
      </c>
      <c r="G26" s="2" t="n">
        <v>417350192</v>
      </c>
      <c r="H26" s="47" t="n">
        <f aca="false">IFERROR(IF(G26="","",1-G26/F26),0)</f>
        <v>0.413834</v>
      </c>
      <c r="I26" s="3" t="n">
        <f aca="false">IFERROR(G26/C6, "")</f>
        <v>0.033410747762819</v>
      </c>
      <c r="J26" s="3" t="n">
        <f aca="false">IFERROR(G26/$C$5,"")</f>
        <v>0.033602451701251</v>
      </c>
      <c r="K26" s="47" t="n">
        <v>0.2</v>
      </c>
      <c r="L26" s="4" t="n">
        <f aca="false">IF(K26="","",IF(J26&gt;K26,(J26-K26)*$C$5,0))</f>
        <v>0</v>
      </c>
      <c r="M26" s="2" t="n">
        <v>417350192</v>
      </c>
      <c r="N26" s="3" t="n">
        <f aca="false">$N$42</f>
        <v>0.9</v>
      </c>
      <c r="O26" s="2" t="n">
        <v>375615173</v>
      </c>
      <c r="P26" s="3" t="n">
        <f aca="false">IFERROR(IF(F26=0,"",O26/$O$81)*($O$42/SUM($O$14:$O$41)),"")</f>
        <v>0.0348954455795327</v>
      </c>
    </row>
    <row r="27" customFormat="false" ht="13.8" hidden="false" customHeight="false" outlineLevel="0" collapsed="false">
      <c r="B27" s="1" t="s">
        <v>52</v>
      </c>
      <c r="C27" s="1" t="s">
        <v>31</v>
      </c>
      <c r="D27" s="1" t="s">
        <v>53</v>
      </c>
      <c r="F27" s="2" t="n">
        <v>143000000</v>
      </c>
      <c r="G27" s="2" t="n">
        <v>65669175</v>
      </c>
      <c r="H27" s="47" t="n">
        <f aca="false">IFERROR(IF(G27="","",1-G27/F27),0)</f>
        <v>0.540775</v>
      </c>
      <c r="I27" s="3" t="n">
        <f aca="false">IFERROR(G27/C6, "")</f>
        <v>0.00525711089577603</v>
      </c>
      <c r="J27" s="3" t="n">
        <f aca="false">IFERROR(G27/$C$5,"")</f>
        <v>0.00528727510732402</v>
      </c>
      <c r="K27" s="47" t="n">
        <v>0.2</v>
      </c>
      <c r="L27" s="4" t="n">
        <f aca="false">IF(K27="","",IF(J27&gt;K27,(J27-K27)*$C$5,0))</f>
        <v>0</v>
      </c>
      <c r="M27" s="2" t="n">
        <v>65669175</v>
      </c>
      <c r="N27" s="3" t="n">
        <f aca="false">$N$42</f>
        <v>0.9</v>
      </c>
      <c r="O27" s="2" t="n">
        <v>59102258</v>
      </c>
      <c r="P27" s="3" t="n">
        <f aca="false">IFERROR(IF(F27=0,"",O27/$O$81)*($O$42/SUM($O$14:$O$41)),"")</f>
        <v>0.00549072501835941</v>
      </c>
    </row>
    <row r="28" customFormat="false" ht="13.8" hidden="false" customHeight="false" outlineLevel="0" collapsed="false">
      <c r="B28" s="1" t="s">
        <v>54</v>
      </c>
      <c r="C28" s="1" t="s">
        <v>31</v>
      </c>
      <c r="D28" s="1" t="s">
        <v>50</v>
      </c>
      <c r="F28" s="2" t="n">
        <v>713000000</v>
      </c>
      <c r="G28" s="2" t="n">
        <v>327427425</v>
      </c>
      <c r="H28" s="47" t="n">
        <f aca="false">IFERROR(IF(G28="","",1-G28/F28),0)</f>
        <v>0.540775</v>
      </c>
      <c r="I28" s="3" t="n">
        <f aca="false">IFERROR(G28/C6, "")</f>
        <v>0.0262120284523658</v>
      </c>
      <c r="J28" s="3" t="n">
        <f aca="false">IFERROR(G28/$C$5,"")</f>
        <v>0.0263624276330212</v>
      </c>
      <c r="K28" s="47" t="n">
        <v>0.2</v>
      </c>
      <c r="L28" s="4" t="n">
        <f aca="false">IF(K28="","",IF(J28&gt;K28,(J28-K28)*$C$5,0))</f>
        <v>0</v>
      </c>
      <c r="M28" s="2" t="n">
        <v>327427425</v>
      </c>
      <c r="N28" s="3" t="n">
        <f aca="false">$N$42</f>
        <v>0.9</v>
      </c>
      <c r="O28" s="2" t="n">
        <v>294684682</v>
      </c>
      <c r="P28" s="3" t="n">
        <f aca="false">IFERROR(IF(F28=0,"",O28/$O$81)*($O$42/SUM($O$14:$O$41)),"")</f>
        <v>0.0273768314568402</v>
      </c>
    </row>
    <row r="29" customFormat="false" ht="13.8" hidden="false" customHeight="false" outlineLevel="0" collapsed="false">
      <c r="B29" s="1" t="s">
        <v>55</v>
      </c>
      <c r="C29" s="1" t="s">
        <v>28</v>
      </c>
      <c r="D29" s="1" t="s">
        <v>31</v>
      </c>
      <c r="F29" s="2" t="n">
        <v>147000000</v>
      </c>
      <c r="G29" s="2" t="n">
        <v>86166402</v>
      </c>
      <c r="H29" s="47" t="n">
        <f aca="false">IFERROR(IF(G29="","",1-G29/F29),0)</f>
        <v>0.413834</v>
      </c>
      <c r="I29" s="3" t="n">
        <f aca="false">IFERROR(G29/C6, "")</f>
        <v>0.00689800550721122</v>
      </c>
      <c r="J29" s="3" t="n">
        <f aca="false">IFERROR(G29/$C$5,"")</f>
        <v>0.00693758483157851</v>
      </c>
      <c r="K29" s="47" t="n">
        <v>0.2</v>
      </c>
      <c r="L29" s="4" t="n">
        <f aca="false">IF(K29="","",IF(J29&gt;K29,(J29-K29)*$C$5,0))</f>
        <v>0</v>
      </c>
      <c r="M29" s="2" t="n">
        <v>86166402</v>
      </c>
      <c r="N29" s="3" t="n">
        <f aca="false">$N$42</f>
        <v>0.9</v>
      </c>
      <c r="O29" s="2" t="n">
        <v>77549762</v>
      </c>
      <c r="P29" s="3" t="n">
        <f aca="false">IFERROR(IF(F29=0,"",O29/$O$81)*($O$42/SUM($O$14:$O$41)),"")</f>
        <v>0.0072045372341141</v>
      </c>
    </row>
    <row r="30" customFormat="false" ht="13.8" hidden="false" customHeight="false" outlineLevel="0" collapsed="false">
      <c r="B30" s="1" t="s">
        <v>56</v>
      </c>
      <c r="C30" s="1" t="s">
        <v>33</v>
      </c>
      <c r="D30" s="1" t="s">
        <v>31</v>
      </c>
      <c r="F30" s="2" t="n">
        <v>709000000</v>
      </c>
      <c r="G30" s="2" t="n">
        <v>325590525</v>
      </c>
      <c r="H30" s="47" t="n">
        <f aca="false">IFERROR(IF(G30="","",1-G30/F30),0)</f>
        <v>0.540775</v>
      </c>
      <c r="I30" s="3" t="n">
        <f aca="false">IFERROR(G30/C6, "")</f>
        <v>0.0260649763993371</v>
      </c>
      <c r="J30" s="3" t="n">
        <f aca="false">IFERROR(G30/$C$5,"")</f>
        <v>0.0262145318258233</v>
      </c>
      <c r="K30" s="47" t="n">
        <v>0.2</v>
      </c>
      <c r="L30" s="4" t="n">
        <f aca="false">IF(K30="","",IF(J30&gt;K30,(J30-K30)*$C$5,0))</f>
        <v>0</v>
      </c>
      <c r="M30" s="2" t="n">
        <v>325590525</v>
      </c>
      <c r="N30" s="3" t="n">
        <f aca="false">$N$42</f>
        <v>0.9</v>
      </c>
      <c r="O30" s="2" t="n">
        <v>293031472</v>
      </c>
      <c r="P30" s="3" t="n">
        <f aca="false">IFERROR(IF(F30=0,"",O30/$O$81)*($O$42/SUM($O$14:$O$41)),"")</f>
        <v>0.0272232447443393</v>
      </c>
    </row>
    <row r="31" customFormat="false" ht="13.8" hidden="false" customHeight="false" outlineLevel="0" collapsed="false">
      <c r="B31" s="1" t="s">
        <v>57</v>
      </c>
      <c r="C31" s="1" t="s">
        <v>58</v>
      </c>
      <c r="D31" s="1" t="s">
        <v>59</v>
      </c>
      <c r="F31" s="2" t="n">
        <v>775000000</v>
      </c>
      <c r="G31" s="2" t="n">
        <v>454278650</v>
      </c>
      <c r="H31" s="47" t="n">
        <f aca="false">IFERROR(IF(G31="","",1-G31/F31),0)</f>
        <v>0.413834</v>
      </c>
      <c r="I31" s="3" t="n">
        <f aca="false">IFERROR(G31/C6, "")</f>
        <v>0.0363670358373381</v>
      </c>
      <c r="J31" s="3" t="n">
        <f aca="false">IFERROR(G31/$C$5,"")</f>
        <v>0.0365757023433561</v>
      </c>
      <c r="K31" s="47" t="n">
        <v>0.2</v>
      </c>
      <c r="L31" s="4" t="n">
        <f aca="false">IF(K31="","",IF(J31&gt;K31,(J31-K31)*$C$5,0))</f>
        <v>0</v>
      </c>
      <c r="M31" s="2" t="n">
        <v>454278650</v>
      </c>
      <c r="N31" s="3" t="n">
        <f aca="false">$N$42</f>
        <v>0.9</v>
      </c>
      <c r="O31" s="2" t="n">
        <v>408850785</v>
      </c>
      <c r="P31" s="3" t="n">
        <f aca="false">IFERROR(IF(F31=0,"",O31/$O$81)*($O$42/SUM($O$14:$O$41)),"")</f>
        <v>0.0379831043676095</v>
      </c>
    </row>
    <row r="32" customFormat="false" ht="13.8" hidden="false" customHeight="false" outlineLevel="0" collapsed="false">
      <c r="B32" s="1" t="s">
        <v>60</v>
      </c>
      <c r="C32" s="1" t="s">
        <v>33</v>
      </c>
      <c r="D32" s="1" t="s">
        <v>31</v>
      </c>
      <c r="F32" s="2" t="n">
        <v>584000000</v>
      </c>
      <c r="G32" s="2" t="n">
        <v>342320944</v>
      </c>
      <c r="H32" s="47" t="n">
        <f aca="false">IFERROR(IF(G32="","",1-G32/F32),0)</f>
        <v>0.413834</v>
      </c>
      <c r="I32" s="3" t="n">
        <f aca="false">IFERROR(G32/C6, "")</f>
        <v>0.0274043211987167</v>
      </c>
      <c r="J32" s="3" t="n">
        <f aca="false">IFERROR(G32/$C$5,"")</f>
        <v>0.0275615615077677</v>
      </c>
      <c r="K32" s="47" t="n">
        <v>0.2</v>
      </c>
      <c r="L32" s="4" t="n">
        <f aca="false">IF(K32="","",IF(J32&gt;K32,(J32-K32)*$C$5,0))</f>
        <v>0</v>
      </c>
      <c r="M32" s="2" t="n">
        <v>342320944</v>
      </c>
      <c r="N32" s="3" t="n">
        <f aca="false">$N$42</f>
        <v>0.9</v>
      </c>
      <c r="O32" s="2" t="n">
        <v>308088850</v>
      </c>
      <c r="P32" s="3" t="n">
        <f aca="false">IFERROR(IF(F32=0,"",O32/$O$81)*($O$42/SUM($O$14:$O$41)),"")</f>
        <v>0.0286221070703015</v>
      </c>
    </row>
    <row r="33" customFormat="false" ht="13.8" hidden="false" customHeight="false" outlineLevel="0" collapsed="false">
      <c r="B33" s="1" t="s">
        <v>61</v>
      </c>
      <c r="C33" s="1" t="s">
        <v>58</v>
      </c>
      <c r="D33" s="1" t="s">
        <v>59</v>
      </c>
      <c r="F33" s="2" t="n">
        <v>679000000</v>
      </c>
      <c r="G33" s="2" t="n">
        <v>398006714</v>
      </c>
      <c r="H33" s="47" t="n">
        <f aca="false">IFERROR(IF(G33="","",1-G33/F33),0)</f>
        <v>0.413834</v>
      </c>
      <c r="I33" s="3" t="n">
        <f aca="false">IFERROR(G33/C6, "")</f>
        <v>0.0318622159142614</v>
      </c>
      <c r="J33" s="3" t="n">
        <f aca="false">IFERROR(G33/$C$5,"")</f>
        <v>0.0320450346982436</v>
      </c>
      <c r="K33" s="47" t="n">
        <v>0.2</v>
      </c>
      <c r="L33" s="4" t="n">
        <f aca="false">IF(K33="","",IF(J33&gt;K33,(J33-K33)*$C$5,0))</f>
        <v>0</v>
      </c>
      <c r="M33" s="2" t="n">
        <v>398006714</v>
      </c>
      <c r="N33" s="3" t="n">
        <f aca="false">$N$42</f>
        <v>0.9</v>
      </c>
      <c r="O33" s="2" t="n">
        <v>358206043</v>
      </c>
      <c r="P33" s="3" t="n">
        <f aca="false">IFERROR(IF(F33=0,"",O33/$O$81)*($O$42/SUM($O$14:$O$41)),"")</f>
        <v>0.0332781005089117</v>
      </c>
    </row>
    <row r="34" customFormat="false" ht="13.8" hidden="false" customHeight="false" outlineLevel="0" collapsed="false">
      <c r="B34" s="1" t="s">
        <v>62</v>
      </c>
      <c r="C34" s="1" t="s">
        <v>33</v>
      </c>
      <c r="D34" s="1" t="s">
        <v>31</v>
      </c>
      <c r="F34" s="2" t="n">
        <v>624000000</v>
      </c>
      <c r="G34" s="2" t="n">
        <v>286556400</v>
      </c>
      <c r="H34" s="47" t="n">
        <f aca="false">IFERROR(IF(G34="","",1-G34/F34),0)</f>
        <v>0.540775</v>
      </c>
      <c r="I34" s="3" t="n">
        <f aca="false">IFERROR(G34/C6, "")</f>
        <v>0.0229401202724772</v>
      </c>
      <c r="J34" s="3" t="n">
        <f aca="false">IFERROR(G34/$C$5,"")</f>
        <v>0.0230717459228685</v>
      </c>
      <c r="K34" s="47" t="n">
        <v>0.2</v>
      </c>
      <c r="L34" s="4" t="n">
        <f aca="false">IF(K34="","",IF(J34&gt;K34,(J34-K34)*$C$5,0))</f>
        <v>0</v>
      </c>
      <c r="M34" s="2" t="n">
        <v>286556400</v>
      </c>
      <c r="N34" s="3" t="n">
        <f aca="false">$N$42</f>
        <v>0.9</v>
      </c>
      <c r="O34" s="2" t="n">
        <v>257900760</v>
      </c>
      <c r="P34" s="3" t="n">
        <f aca="false">IFERROR(IF(F34=0,"",O34/$O$81)*($O$42/SUM($O$14:$O$41)),"")</f>
        <v>0.0239595271501455</v>
      </c>
    </row>
    <row r="35" customFormat="false" ht="13.8" hidden="false" customHeight="false" outlineLevel="0" collapsed="false">
      <c r="B35" s="1" t="s">
        <v>63</v>
      </c>
      <c r="C35" s="1" t="s">
        <v>49</v>
      </c>
      <c r="D35" s="1" t="s">
        <v>50</v>
      </c>
      <c r="F35" s="2" t="n">
        <v>276000000</v>
      </c>
      <c r="G35" s="2" t="n">
        <v>126746100</v>
      </c>
      <c r="H35" s="47" t="n">
        <f aca="false">IFERROR(IF(G35="","",1-G35/F35),0)</f>
        <v>0.540775</v>
      </c>
      <c r="I35" s="3" t="n">
        <f aca="false">IFERROR(G35/C6, "")</f>
        <v>0.0101465916589803</v>
      </c>
      <c r="J35" s="3" t="n">
        <f aca="false">IFERROR(G35/$C$5,"")</f>
        <v>0.0102048106966534</v>
      </c>
      <c r="K35" s="47" t="n">
        <v>0.2</v>
      </c>
      <c r="L35" s="4" t="n">
        <f aca="false">IF(K35="","",IF(J35&gt;K35,(J35-K35)*$C$5,0))</f>
        <v>0</v>
      </c>
      <c r="M35" s="2" t="n">
        <v>126746100</v>
      </c>
      <c r="N35" s="3" t="n">
        <f aca="false">$N$42</f>
        <v>0.9</v>
      </c>
      <c r="O35" s="2" t="n">
        <v>114071490</v>
      </c>
      <c r="P35" s="3" t="n">
        <f aca="false">IFERROR(IF(F35=0,"",O35/$O$81)*($O$42/SUM($O$14:$O$41)),"")</f>
        <v>0.0105974831625644</v>
      </c>
    </row>
    <row r="36" customFormat="false" ht="13.8" hidden="false" customHeight="false" outlineLevel="0" collapsed="false">
      <c r="B36" s="1" t="s">
        <v>64</v>
      </c>
      <c r="C36" s="1" t="s">
        <v>40</v>
      </c>
      <c r="D36" s="1" t="s">
        <v>31</v>
      </c>
      <c r="F36" s="2" t="n">
        <v>297000000</v>
      </c>
      <c r="G36" s="2" t="n">
        <v>136389825</v>
      </c>
      <c r="H36" s="47" t="n">
        <f aca="false">IFERROR(IF(G36="","",1-G36/F36),0)</f>
        <v>0.540775</v>
      </c>
      <c r="I36" s="3" t="n">
        <f aca="false">IFERROR(G36/C6, "")</f>
        <v>0.010918614937381</v>
      </c>
      <c r="J36" s="3" t="n">
        <f aca="false">IFERROR(G36/$C$5,"")</f>
        <v>0.0109812636844422</v>
      </c>
      <c r="K36" s="47" t="n">
        <v>0.2</v>
      </c>
      <c r="L36" s="4" t="n">
        <f aca="false">IF(K36="","",IF(J36&gt;K36,(J36-K36)*$C$5,0))</f>
        <v>0</v>
      </c>
      <c r="M36" s="2" t="n">
        <v>136389825</v>
      </c>
      <c r="N36" s="3" t="n">
        <f aca="false">$N$42</f>
        <v>0.9</v>
      </c>
      <c r="O36" s="2" t="n">
        <v>122750842</v>
      </c>
      <c r="P36" s="3" t="n">
        <f aca="false">IFERROR(IF(F36=0,"",O36/$O$81)*($O$42/SUM($O$14:$O$41)),"")</f>
        <v>0.0114038133567432</v>
      </c>
    </row>
    <row r="37" customFormat="false" ht="13.8" hidden="false" customHeight="false" outlineLevel="0" collapsed="false">
      <c r="B37" s="1" t="s">
        <v>65</v>
      </c>
      <c r="C37" s="1" t="s">
        <v>28</v>
      </c>
      <c r="D37" s="1" t="s">
        <v>66</v>
      </c>
      <c r="F37" s="2" t="n">
        <v>742000000</v>
      </c>
      <c r="G37" s="2" t="n">
        <v>434935172</v>
      </c>
      <c r="H37" s="47" t="n">
        <f aca="false">IFERROR(IF(G37="","",1-G37/F37),0)</f>
        <v>0.413834</v>
      </c>
      <c r="I37" s="3" t="n">
        <f aca="false">IFERROR(G37/C6, "")</f>
        <v>0.0348185039887805</v>
      </c>
      <c r="J37" s="3" t="n">
        <f aca="false">IFERROR(G37/$C$5,"")</f>
        <v>0.0350182853403487</v>
      </c>
      <c r="K37" s="47" t="n">
        <v>0.2</v>
      </c>
      <c r="L37" s="4" t="n">
        <f aca="false">IF(K37="","",IF(J37&gt;K37,(J37-K37)*$C$5,0))</f>
        <v>0</v>
      </c>
      <c r="M37" s="2" t="n">
        <v>434935172</v>
      </c>
      <c r="N37" s="3" t="n">
        <f aca="false">$N$42</f>
        <v>0.9</v>
      </c>
      <c r="O37" s="2" t="n">
        <v>391441655</v>
      </c>
      <c r="P37" s="3" t="n">
        <f aca="false">IFERROR(IF(F37=0,"",O37/$O$81)*($O$42/SUM($O$14:$O$41)),"")</f>
        <v>0.0363657592969885</v>
      </c>
    </row>
    <row r="38" customFormat="false" ht="13.8" hidden="false" customHeight="false" outlineLevel="0" collapsed="false">
      <c r="B38" s="1" t="s">
        <v>67</v>
      </c>
      <c r="C38" s="1" t="s">
        <v>40</v>
      </c>
      <c r="D38" s="1" t="s">
        <v>31</v>
      </c>
      <c r="F38" s="2" t="n">
        <v>259000000</v>
      </c>
      <c r="G38" s="2" t="n">
        <v>151816994</v>
      </c>
      <c r="H38" s="47" t="n">
        <f aca="false">IFERROR(IF(G38="","",1-G38/F38),0)</f>
        <v>0.413834</v>
      </c>
      <c r="I38" s="3" t="n">
        <f aca="false">IFERROR(G38/C6, "")</f>
        <v>0.0121536287508007</v>
      </c>
      <c r="J38" s="3" t="n">
        <f aca="false">IFERROR(G38/$C$5,"")</f>
        <v>0.0122233637508764</v>
      </c>
      <c r="K38" s="47" t="n">
        <v>0.2</v>
      </c>
      <c r="L38" s="4" t="n">
        <f aca="false">IF(K38="","",IF(J38&gt;K38,(J38-K38)*$C$5,0))</f>
        <v>0</v>
      </c>
      <c r="M38" s="2" t="n">
        <v>151816994</v>
      </c>
      <c r="N38" s="3" t="n">
        <f aca="false">$N$42</f>
        <v>0.9</v>
      </c>
      <c r="O38" s="2" t="n">
        <v>136635295</v>
      </c>
      <c r="P38" s="3" t="n">
        <f aca="false">IFERROR(IF(F38=0,"",O38/$O$81)*($O$42/SUM($O$14:$O$41)),"")</f>
        <v>0.0126937084645297</v>
      </c>
    </row>
    <row r="39" customFormat="false" ht="13.8" hidden="false" customHeight="false" outlineLevel="0" collapsed="false">
      <c r="B39" s="1" t="s">
        <v>68</v>
      </c>
      <c r="C39" s="1" t="s">
        <v>58</v>
      </c>
      <c r="D39" s="1" t="s">
        <v>59</v>
      </c>
      <c r="F39" s="2" t="n">
        <v>953000000</v>
      </c>
      <c r="G39" s="2" t="n">
        <v>558616198</v>
      </c>
      <c r="H39" s="47" t="n">
        <f aca="false">IFERROR(IF(G39="","",1-G39/F39),0)</f>
        <v>0.413834</v>
      </c>
      <c r="I39" s="3" t="n">
        <f aca="false">IFERROR(G39/C6, "")</f>
        <v>0.0447197227780428</v>
      </c>
      <c r="J39" s="3" t="n">
        <f aca="false">IFERROR(G39/$C$5,"")</f>
        <v>0.0449763152686689</v>
      </c>
      <c r="K39" s="47" t="n">
        <v>0.2</v>
      </c>
      <c r="L39" s="4" t="n">
        <f aca="false">IF(K39="","",IF(J39&gt;K39,(J39-K39)*$C$5,0))</f>
        <v>0</v>
      </c>
      <c r="M39" s="2" t="n">
        <v>558616198</v>
      </c>
      <c r="N39" s="3" t="n">
        <f aca="false">$N$42</f>
        <v>0.9</v>
      </c>
      <c r="O39" s="2" t="n">
        <v>502754578</v>
      </c>
      <c r="P39" s="3" t="n">
        <f aca="false">IFERROR(IF(F39=0,"",O39/$O$81)*($O$42/SUM($O$14:$O$41)),"")</f>
        <v>0.0467069657392672</v>
      </c>
    </row>
    <row r="40" customFormat="false" ht="13.8" hidden="false" customHeight="false" outlineLevel="0" collapsed="false">
      <c r="B40" s="1" t="s">
        <v>69</v>
      </c>
      <c r="C40" s="1" t="s">
        <v>28</v>
      </c>
      <c r="D40" s="1" t="s">
        <v>66</v>
      </c>
      <c r="F40" s="2" t="n">
        <v>508000000</v>
      </c>
      <c r="G40" s="2" t="n">
        <v>297772328</v>
      </c>
      <c r="H40" s="47" t="n">
        <f aca="false">IFERROR(IF(G40="","",1-G40/F40),0)</f>
        <v>0.413834</v>
      </c>
      <c r="I40" s="3" t="n">
        <f aca="false">IFERROR(G40/C6, "")</f>
        <v>0.023838005426281</v>
      </c>
      <c r="J40" s="3" t="n">
        <f aca="false">IFERROR(G40/$C$5,"")</f>
        <v>0.023974782955387</v>
      </c>
      <c r="K40" s="47" t="n">
        <v>0.2</v>
      </c>
      <c r="L40" s="4" t="n">
        <f aca="false">IF(K40="","",IF(J40&gt;K40,(J40-K40)*$C$5,0))</f>
        <v>0</v>
      </c>
      <c r="M40" s="2" t="n">
        <v>297772328</v>
      </c>
      <c r="N40" s="3" t="n">
        <f aca="false">$N$42</f>
        <v>0.9</v>
      </c>
      <c r="O40" s="2" t="n">
        <v>267995095</v>
      </c>
      <c r="P40" s="3" t="n">
        <f aca="false">IFERROR(IF(F40=0,"",O40/$O$81)*($O$42/SUM($O$14:$O$41)),"")</f>
        <v>0.024897312263672</v>
      </c>
    </row>
    <row r="41" customFormat="false" ht="13.8" hidden="false" customHeight="false" outlineLevel="0" collapsed="false">
      <c r="B41" s="1" t="s">
        <v>70</v>
      </c>
      <c r="C41" s="1" t="s">
        <v>58</v>
      </c>
      <c r="D41" s="1" t="s">
        <v>31</v>
      </c>
      <c r="F41" s="2" t="n">
        <v>310000000</v>
      </c>
      <c r="G41" s="2" t="n">
        <v>181711460</v>
      </c>
      <c r="H41" s="47" t="n">
        <f aca="false">IFERROR(IF(G41="","",1-G41/F41),0)</f>
        <v>0.413834</v>
      </c>
      <c r="I41" s="3" t="n">
        <f aca="false">IFERROR(G41/C6, "")</f>
        <v>0.0145468143349352</v>
      </c>
      <c r="J41" s="3" t="n">
        <f aca="false">IFERROR(G41/$C$5,"")</f>
        <v>0.0146302809373424</v>
      </c>
      <c r="K41" s="47" t="n">
        <v>0.2</v>
      </c>
      <c r="L41" s="4" t="n">
        <f aca="false">IF(K41="","",IF(J41&gt;K41,(J41-K41)*$C$5,0))</f>
        <v>0</v>
      </c>
      <c r="M41" s="2" t="n">
        <v>181711460</v>
      </c>
      <c r="N41" s="3" t="n">
        <f aca="false">$N$42</f>
        <v>0.9</v>
      </c>
      <c r="O41" s="2" t="n">
        <v>163540314</v>
      </c>
      <c r="P41" s="3" t="n">
        <f aca="false">IFERROR(IF(F41=0,"",O41/$O$81)*($O$42/SUM($O$14:$O$41)),"")</f>
        <v>0.0151932417470438</v>
      </c>
    </row>
    <row r="42" s="48" customFormat="true" ht="13.8" hidden="false" customHeight="false" outlineLevel="0" collapsed="false">
      <c r="B42" s="49" t="s">
        <v>71</v>
      </c>
      <c r="C42" s="49"/>
      <c r="D42" s="49"/>
      <c r="E42" s="49"/>
      <c r="F42" s="50" t="n">
        <f aca="false">SUM(F14:F41)</f>
        <v>12102000000</v>
      </c>
      <c r="G42" s="50" t="n">
        <f aca="false">SUM(G14:G41)</f>
        <v>6678559780</v>
      </c>
      <c r="H42" s="51"/>
      <c r="I42" s="51" t="n">
        <f aca="false">SUM(I14:I41)</f>
        <v>0.534648552955471</v>
      </c>
      <c r="J42" s="51" t="n">
        <f aca="false">SUM(J14:J41)</f>
        <v>0.537716255420742</v>
      </c>
      <c r="K42" s="52" t="n">
        <v>1</v>
      </c>
      <c r="L42" s="50" t="n">
        <f aca="false">SUM(L14:L41)</f>
        <v>0</v>
      </c>
      <c r="M42" s="50" t="n">
        <f aca="false">SUM(M14:M41)</f>
        <v>6678559780</v>
      </c>
      <c r="N42" s="52" t="n">
        <v>0.9</v>
      </c>
      <c r="O42" s="50" t="n">
        <f aca="false">SUM(O14:O41)</f>
        <v>6010703803</v>
      </c>
      <c r="P42" s="51" t="n">
        <f aca="false">SUM(P14:P41)</f>
        <v>0.558407121248738</v>
      </c>
      <c r="XFC42" s="1"/>
      <c r="XFD42" s="1"/>
    </row>
    <row r="43" customFormat="false" ht="13.8" hidden="false" customHeight="false" outlineLevel="0" collapsed="false">
      <c r="H43" s="47" t="str">
        <f aca="false">IFERROR(IF(G43="","",1-G43/F43),0)</f>
        <v/>
      </c>
      <c r="K43" s="53"/>
    </row>
    <row r="44" customFormat="false" ht="13.8" hidden="false" customHeight="false" outlineLevel="0" collapsed="false">
      <c r="B44" s="54" t="s">
        <v>72</v>
      </c>
      <c r="C44" s="54"/>
      <c r="D44" s="54"/>
      <c r="E44" s="54"/>
      <c r="F44" s="55"/>
      <c r="G44" s="55"/>
      <c r="H44" s="56" t="str">
        <f aca="false">IFERROR(IF(G44="","",1-G44/F44),0)</f>
        <v/>
      </c>
      <c r="I44" s="57"/>
      <c r="J44" s="57"/>
      <c r="K44" s="58"/>
      <c r="L44" s="59"/>
      <c r="M44" s="55"/>
      <c r="N44" s="57"/>
      <c r="O44" s="55"/>
      <c r="P44" s="57"/>
    </row>
    <row r="45" customFormat="false" ht="13.8" hidden="false" customHeight="false" outlineLevel="0" collapsed="false">
      <c r="B45" s="1" t="s">
        <v>73</v>
      </c>
      <c r="E45" s="53" t="s">
        <v>74</v>
      </c>
      <c r="F45" s="2" t="n">
        <v>800000000</v>
      </c>
      <c r="G45" s="2" t="n">
        <v>468933111</v>
      </c>
      <c r="H45" s="47" t="n">
        <f aca="false">IFERROR(IF(G45="","",1-G45/F45),0)</f>
        <v>0.41383361125</v>
      </c>
      <c r="I45" s="3" t="n">
        <f aca="false">IFERROR(G45/C6, "")</f>
        <v>0.037540190922579</v>
      </c>
      <c r="J45" s="3" t="n">
        <f aca="false">IFERROR(G45/$C$5,"")</f>
        <v>0.037755588749064</v>
      </c>
      <c r="K45" s="47" t="n">
        <v>0.2</v>
      </c>
      <c r="L45" s="4" t="n">
        <f aca="false">IF(K45="","",IF(J45&gt;K45,(J45-K45)*$C$5,0))</f>
        <v>0</v>
      </c>
      <c r="M45" s="2" t="n">
        <v>468933111</v>
      </c>
      <c r="N45" s="3" t="n">
        <f aca="false">$N$57</f>
        <v>0.9</v>
      </c>
      <c r="O45" s="2" t="n">
        <v>422039800</v>
      </c>
      <c r="P45" s="3" t="n">
        <f aca="false">IFERROR(IF(F45=0,"",O45/$O$81)*($O$42/SUM($O$14:$O$41)),"")</f>
        <v>0.0392083918114161</v>
      </c>
    </row>
    <row r="46" customFormat="false" ht="13.8" hidden="false" customHeight="false" outlineLevel="0" collapsed="false">
      <c r="B46" s="1" t="s">
        <v>75</v>
      </c>
      <c r="E46" s="53"/>
      <c r="F46" s="2" t="n">
        <v>700000000</v>
      </c>
      <c r="G46" s="2" t="n">
        <v>410316481</v>
      </c>
      <c r="H46" s="47" t="n">
        <f aca="false">IFERROR(IF(G46="","",1-G46/F46),0)</f>
        <v>0.413833598571429</v>
      </c>
      <c r="I46" s="3" t="n">
        <f aca="false">IFERROR(G46/C6, "")</f>
        <v>0.03284766776774</v>
      </c>
      <c r="J46" s="3" t="n">
        <f aca="false">IFERROR(G46/$C$5,"")</f>
        <v>0.033036140869991</v>
      </c>
      <c r="K46" s="47" t="n">
        <v>0.2</v>
      </c>
      <c r="L46" s="4" t="n">
        <f aca="false">IF(K46="","",IF(J46&gt;K46,(J46-K46)*$C$5,0))</f>
        <v>0</v>
      </c>
      <c r="M46" s="2" t="n">
        <v>410316481</v>
      </c>
      <c r="N46" s="3" t="n">
        <f aca="false">$N$57</f>
        <v>0.9</v>
      </c>
      <c r="O46" s="2" t="n">
        <v>369284833</v>
      </c>
      <c r="P46" s="3" t="n">
        <f aca="false">IFERROR(IF(F46=0,"",O46/$O$81)*($O$42/SUM($O$14:$O$41)),"")</f>
        <v>0.0343073435782061</v>
      </c>
    </row>
    <row r="47" customFormat="false" ht="13.8" hidden="false" customHeight="false" outlineLevel="0" collapsed="false">
      <c r="B47" s="1" t="s">
        <v>76</v>
      </c>
      <c r="E47" s="53" t="s">
        <v>74</v>
      </c>
      <c r="F47" s="2" t="n">
        <v>500000000</v>
      </c>
      <c r="G47" s="2" t="n">
        <v>293083200</v>
      </c>
      <c r="H47" s="47" t="n">
        <f aca="false">IFERROR(IF(G47="","",1-G47/F47),0)</f>
        <v>0.4138336</v>
      </c>
      <c r="I47" s="3" t="n">
        <f aca="false">IFERROR(G47/C6, "")</f>
        <v>0.0234626197769183</v>
      </c>
      <c r="J47" s="3" t="n">
        <f aca="false">IFERROR(G47/$C$5,"")</f>
        <v>0.0235972434210551</v>
      </c>
      <c r="K47" s="47" t="n">
        <v>0.2</v>
      </c>
      <c r="L47" s="4" t="n">
        <f aca="false">IF(K47="","",IF(J47&gt;K47,(J47-K47)*$C$5,0))</f>
        <v>0</v>
      </c>
      <c r="M47" s="2" t="n">
        <v>293083200</v>
      </c>
      <c r="N47" s="3" t="n">
        <f aca="false">$N$57</f>
        <v>0.9</v>
      </c>
      <c r="O47" s="2" t="n">
        <v>263774880</v>
      </c>
      <c r="P47" s="3" t="n">
        <f aca="false">IFERROR(IF(F47=0,"",O47/$O$81)*($O$42/SUM($O$14:$O$41)),"")</f>
        <v>0.0245052453466457</v>
      </c>
    </row>
    <row r="48" customFormat="false" ht="13.8" hidden="false" customHeight="false" outlineLevel="0" collapsed="false">
      <c r="B48" s="1" t="s">
        <v>77</v>
      </c>
      <c r="E48" s="53"/>
      <c r="F48" s="2" t="n">
        <v>200000000</v>
      </c>
      <c r="G48" s="2" t="n">
        <v>117233280</v>
      </c>
      <c r="H48" s="47" t="n">
        <f aca="false">IFERROR(IF(G48="","",1-G48/F48),0)</f>
        <v>0.4138336</v>
      </c>
      <c r="I48" s="3" t="n">
        <f aca="false">IFERROR(G48/C6, "")</f>
        <v>0.0093850479107673</v>
      </c>
      <c r="J48" s="3" t="n">
        <f aca="false">IFERROR(G48/$C$5,"")</f>
        <v>0.00943889736842205</v>
      </c>
      <c r="K48" s="47" t="n">
        <v>0.2</v>
      </c>
      <c r="L48" s="4" t="n">
        <f aca="false">IF(K48="","",IF(J48&gt;K48,(J48-K48)*$C$5,0))</f>
        <v>0</v>
      </c>
      <c r="M48" s="2" t="n">
        <v>117233280</v>
      </c>
      <c r="N48" s="3" t="n">
        <f aca="false">$N$57</f>
        <v>0.9</v>
      </c>
      <c r="O48" s="2" t="n">
        <v>105509952</v>
      </c>
      <c r="P48" s="3" t="n">
        <f aca="false">IFERROR(IF(F48=0,"",O48/$O$81)*($O$42/SUM($O$14:$O$41)),"")</f>
        <v>0.00980209813865827</v>
      </c>
    </row>
    <row r="49" customFormat="false" ht="13.8" hidden="false" customHeight="false" outlineLevel="0" collapsed="false">
      <c r="B49" s="1" t="s">
        <v>78</v>
      </c>
      <c r="E49" s="53" t="s">
        <v>79</v>
      </c>
      <c r="F49" s="2" t="n">
        <v>319436625</v>
      </c>
      <c r="G49" s="2" t="n">
        <v>146693352</v>
      </c>
      <c r="H49" s="47" t="n">
        <f aca="false">IFERROR(IF(G49="","",1-G49/F49),0)</f>
        <v>0.540774787487189</v>
      </c>
      <c r="I49" s="3" t="n">
        <f aca="false">IFERROR(G49/C6, "")</f>
        <v>0.0117434583141498</v>
      </c>
      <c r="J49" s="3" t="n">
        <f aca="false">IFERROR(G49/$C$5,"")</f>
        <v>0.0118108398413642</v>
      </c>
      <c r="K49" s="47" t="n">
        <v>0.2</v>
      </c>
      <c r="L49" s="4" t="n">
        <f aca="false">IF(K49="","",IF(J49&gt;K49,(J49-K49)*$C$5,0))</f>
        <v>0</v>
      </c>
      <c r="M49" s="2" t="n">
        <v>146693352</v>
      </c>
      <c r="N49" s="3" t="n">
        <f aca="false">$N$57</f>
        <v>0.9</v>
      </c>
      <c r="O49" s="2" t="n">
        <v>132024017</v>
      </c>
      <c r="P49" s="3" t="n">
        <f aca="false">IFERROR(IF(F49=0,"",O49/$O$81)*($O$42/SUM($O$14:$O$41)),"")</f>
        <v>0.0122653109660583</v>
      </c>
    </row>
    <row r="50" customFormat="false" ht="13.8" hidden="false" customHeight="false" outlineLevel="0" collapsed="false">
      <c r="B50" s="1" t="s">
        <v>80</v>
      </c>
      <c r="E50" s="53" t="s">
        <v>74</v>
      </c>
      <c r="F50" s="2" t="n">
        <v>248000000</v>
      </c>
      <c r="G50" s="2" t="n">
        <v>145369168</v>
      </c>
      <c r="H50" s="47" t="n">
        <f aca="false">IFERROR(IF(G50="","",1-G50/F50),0)</f>
        <v>0.413834</v>
      </c>
      <c r="I50" s="3" t="n">
        <f aca="false">IFERROR(G50/C6, "")</f>
        <v>0.0116374514679482</v>
      </c>
      <c r="J50" s="3" t="n">
        <f aca="false">IFERROR(G50/$C$5,"")</f>
        <v>0.011704224749874</v>
      </c>
      <c r="K50" s="47" t="n">
        <v>0.2</v>
      </c>
      <c r="L50" s="4" t="n">
        <f aca="false">IF(K50="","",IF(J50&gt;K50,(J50-K50)*$C$5,0))</f>
        <v>0</v>
      </c>
      <c r="M50" s="2" t="n">
        <v>145369168</v>
      </c>
      <c r="N50" s="3" t="n">
        <f aca="false">$N$57</f>
        <v>0.9</v>
      </c>
      <c r="O50" s="2" t="n">
        <v>130832251</v>
      </c>
      <c r="P50" s="3" t="n">
        <f aca="false">IFERROR(IF(F50=0,"",O50/$O$81)*($O$42/SUM($O$14:$O$41)),"")</f>
        <v>0.0121545933790546</v>
      </c>
    </row>
    <row r="51" customFormat="false" ht="13.8" hidden="false" customHeight="false" outlineLevel="0" collapsed="false">
      <c r="B51" s="1" t="s">
        <v>81</v>
      </c>
      <c r="E51" s="53" t="s">
        <v>82</v>
      </c>
      <c r="F51" s="2" t="n">
        <v>198000000</v>
      </c>
      <c r="G51" s="2" t="n">
        <v>90926550</v>
      </c>
      <c r="H51" s="47" t="n">
        <f aca="false">IFERROR(IF(G51="","",1-G51/F51),0)</f>
        <v>0.540775</v>
      </c>
      <c r="I51" s="3" t="n">
        <f aca="false">IFERROR(G51/C6, "")</f>
        <v>0.00727907662492066</v>
      </c>
      <c r="J51" s="3" t="n">
        <f aca="false">IFERROR(G51/$C$5,"")</f>
        <v>0.0073208424562948</v>
      </c>
      <c r="K51" s="47" t="n">
        <v>0.2</v>
      </c>
      <c r="L51" s="4" t="n">
        <f aca="false">IF(K51="","",IF(J51&gt;K51,(J51-K51)*$C$5,0))</f>
        <v>0</v>
      </c>
      <c r="M51" s="2" t="n">
        <v>90926550</v>
      </c>
      <c r="N51" s="3" t="n">
        <f aca="false">$N$57</f>
        <v>0.9</v>
      </c>
      <c r="O51" s="2" t="n">
        <v>81833895</v>
      </c>
      <c r="P51" s="3" t="n">
        <f aca="false">IFERROR(IF(F51=0,"",O51/$O$81)*($O$42/SUM($O$14:$O$41)),"")</f>
        <v>0.00760254226879618</v>
      </c>
    </row>
    <row r="52" customFormat="false" ht="13.8" hidden="false" customHeight="false" outlineLevel="0" collapsed="false">
      <c r="B52" s="60" t="s">
        <v>83</v>
      </c>
      <c r="C52" s="60"/>
      <c r="D52" s="60"/>
      <c r="E52" s="61" t="s">
        <v>82</v>
      </c>
      <c r="F52" s="62" t="n">
        <v>878000000</v>
      </c>
      <c r="G52" s="62" t="n">
        <v>403199550</v>
      </c>
      <c r="H52" s="63" t="n">
        <f aca="false">IFERROR(IF(G52="","",1-G52/F52),0)</f>
        <v>0.540775</v>
      </c>
      <c r="I52" s="64" t="n">
        <f aca="false">IFERROR(G52/C6, "")</f>
        <v>0.0322779256397997</v>
      </c>
      <c r="J52" s="64" t="n">
        <f aca="false">IFERROR(G52/$C$5,"")</f>
        <v>0.0324631296799335</v>
      </c>
      <c r="K52" s="63" t="n">
        <v>0.2</v>
      </c>
      <c r="L52" s="65" t="n">
        <f aca="false">IF(K52="","",IF(J52&gt;K52,(J52-K52)*$C$5,0))</f>
        <v>0</v>
      </c>
      <c r="M52" s="62" t="n">
        <v>403199550</v>
      </c>
      <c r="N52" s="64" t="n">
        <f aca="false">$N$57</f>
        <v>0.9</v>
      </c>
      <c r="O52" s="62" t="n">
        <v>362879595</v>
      </c>
      <c r="P52" s="64" t="n">
        <f aca="false">IFERROR(IF(F52=0,"",O52/$O$81)*($O$42/SUM($O$14:$O$41)),"")</f>
        <v>0.0337122833939548</v>
      </c>
    </row>
    <row r="53" customFormat="false" ht="13.8" hidden="false" customHeight="false" outlineLevel="0" collapsed="false">
      <c r="B53" s="1" t="s">
        <v>84</v>
      </c>
      <c r="E53" s="53" t="s">
        <v>82</v>
      </c>
      <c r="F53" s="2" t="n">
        <v>114000000</v>
      </c>
      <c r="G53" s="2" t="n">
        <v>66822924</v>
      </c>
      <c r="H53" s="47" t="n">
        <f aca="false">IFERROR(IF(G53="","",1-G53/F53),0)</f>
        <v>0.413834</v>
      </c>
      <c r="I53" s="3" t="n">
        <f aca="false">IFERROR(G53/C6, "")</f>
        <v>0.0053494736586536</v>
      </c>
      <c r="J53" s="3" t="n">
        <f aca="false">IFERROR(G53/$C$5,"")</f>
        <v>0.00538016782857109</v>
      </c>
      <c r="K53" s="47" t="n">
        <v>0.2</v>
      </c>
      <c r="L53" s="4" t="n">
        <f aca="false">IF(K53="","",IF(J53&gt;K53,(J53-K53)*$C$5,0))</f>
        <v>0</v>
      </c>
      <c r="M53" s="2" t="n">
        <v>66822924</v>
      </c>
      <c r="N53" s="3" t="n">
        <f aca="false">$N$57</f>
        <v>0.9</v>
      </c>
      <c r="O53" s="2" t="n">
        <v>60140632</v>
      </c>
      <c r="P53" s="3" t="n">
        <f aca="false">IFERROR(IF(F53=0,"",O53/$O$81)*($O$42/SUM($O$14:$O$41)),"")</f>
        <v>0.00558719216349309</v>
      </c>
    </row>
    <row r="54" customFormat="false" ht="13.8" hidden="false" customHeight="false" outlineLevel="0" collapsed="false">
      <c r="B54" s="1" t="s">
        <v>85</v>
      </c>
      <c r="E54" s="53" t="s">
        <v>82</v>
      </c>
      <c r="F54" s="2" t="n">
        <v>260000000</v>
      </c>
      <c r="G54" s="2" t="n">
        <v>119398500</v>
      </c>
      <c r="H54" s="47" t="n">
        <f aca="false">IFERROR(IF(G54="","",1-G54/F54),0)</f>
        <v>0.540775</v>
      </c>
      <c r="I54" s="3" t="n">
        <f aca="false">IFERROR(G54/C6, "")</f>
        <v>0.00955838344686551</v>
      </c>
      <c r="J54" s="3" t="n">
        <f aca="false">IFERROR(G54/$C$5,"")</f>
        <v>0.00961322746786186</v>
      </c>
      <c r="K54" s="47" t="n">
        <v>0.2</v>
      </c>
      <c r="L54" s="4" t="n">
        <f aca="false">IF(K54="","",IF(J54&gt;K54,(J54-K54)*$C$5,0))</f>
        <v>0</v>
      </c>
      <c r="M54" s="2" t="n">
        <v>119398500</v>
      </c>
      <c r="N54" s="3" t="n">
        <f aca="false">$N$57</f>
        <v>0.9</v>
      </c>
      <c r="O54" s="2" t="n">
        <v>107458650</v>
      </c>
      <c r="P54" s="3" t="n">
        <f aca="false">IFERROR(IF(F54=0,"",O54/$O$81)*($O$42/SUM($O$14:$O$41)),"")</f>
        <v>0.00998313631256064</v>
      </c>
    </row>
    <row r="55" customFormat="false" ht="13.8" hidden="false" customHeight="false" outlineLevel="0" collapsed="false">
      <c r="B55" s="1" t="s">
        <v>86</v>
      </c>
      <c r="E55" s="53" t="s">
        <v>82</v>
      </c>
      <c r="F55" s="2" t="n">
        <v>976000000</v>
      </c>
      <c r="G55" s="2" t="n">
        <v>448203600</v>
      </c>
      <c r="H55" s="47" t="n">
        <f aca="false">IFERROR(IF(G55="","",1-G55/F55),0)</f>
        <v>0.540775</v>
      </c>
      <c r="I55" s="3" t="n">
        <f aca="false">IFERROR(G55/C6, "")</f>
        <v>0.0358807009390028</v>
      </c>
      <c r="J55" s="3" t="n">
        <f aca="false">IFERROR(G55/$C$5,"")</f>
        <v>0.0360865769562814</v>
      </c>
      <c r="K55" s="47" t="n">
        <v>0.2</v>
      </c>
      <c r="L55" s="4" t="n">
        <f aca="false">IF(K55="","",IF(J55&gt;K55,(J55-K55)*$C$5,0))</f>
        <v>0</v>
      </c>
      <c r="M55" s="2" t="n">
        <v>448203600</v>
      </c>
      <c r="N55" s="3" t="n">
        <f aca="false">$N$57</f>
        <v>0.9</v>
      </c>
      <c r="O55" s="2" t="n">
        <v>403383240</v>
      </c>
      <c r="P55" s="3" t="n">
        <f aca="false">IFERROR(IF(F55=0,"",O55/$O$81)*($O$42/SUM($O$14:$O$41)),"")</f>
        <v>0.0374751578502277</v>
      </c>
    </row>
    <row r="56" customFormat="false" ht="13.8" hidden="false" customHeight="false" outlineLevel="0" collapsed="false">
      <c r="B56" s="1" t="s">
        <v>87</v>
      </c>
      <c r="E56" s="53" t="s">
        <v>82</v>
      </c>
      <c r="F56" s="2" t="n">
        <v>461000000</v>
      </c>
      <c r="G56" s="2" t="n">
        <v>270222526</v>
      </c>
      <c r="H56" s="47" t="n">
        <f aca="false">IFERROR(IF(G56="","",1-G56/F56),0)</f>
        <v>0.413834</v>
      </c>
      <c r="I56" s="3" t="n">
        <f aca="false">IFERROR(G56/C6, "")</f>
        <v>0.0216325206722746</v>
      </c>
      <c r="J56" s="3" t="n">
        <f aca="false">IFERROR(G56/$C$5,"")</f>
        <v>0.0217566435874673</v>
      </c>
      <c r="K56" s="47" t="n">
        <v>0.2</v>
      </c>
      <c r="L56" s="4" t="n">
        <f aca="false">IF(K56="","",IF(J56&gt;K56,(J56-K56)*$C$5,0))</f>
        <v>0</v>
      </c>
      <c r="M56" s="2" t="n">
        <v>270222526</v>
      </c>
      <c r="N56" s="3" t="n">
        <f aca="false">$N$57</f>
        <v>0.9</v>
      </c>
      <c r="O56" s="2" t="n">
        <v>243200273</v>
      </c>
      <c r="P56" s="3" t="n">
        <f aca="false">IFERROR(IF(F56=0,"",O56/$O$81)*($O$42/SUM($O$14:$O$41)),"")</f>
        <v>0.0225938207544108</v>
      </c>
    </row>
    <row r="57" s="48" customFormat="true" ht="13.8" hidden="false" customHeight="false" outlineLevel="0" collapsed="false">
      <c r="B57" s="49" t="s">
        <v>88</v>
      </c>
      <c r="C57" s="49"/>
      <c r="D57" s="49"/>
      <c r="E57" s="49"/>
      <c r="F57" s="50" t="n">
        <f aca="false">SUM(F45:F56)</f>
        <v>5654436625</v>
      </c>
      <c r="G57" s="50" t="n">
        <f aca="false">SUM(G45:G56)</f>
        <v>2980402242</v>
      </c>
      <c r="H57" s="51"/>
      <c r="I57" s="51" t="n">
        <f aca="false">SUM(I45:I56)</f>
        <v>0.238594517141619</v>
      </c>
      <c r="J57" s="51" t="n">
        <f aca="false">SUM(J45:J56)</f>
        <v>0.23996352297618</v>
      </c>
      <c r="K57" s="52" t="n">
        <v>1</v>
      </c>
      <c r="L57" s="50" t="n">
        <f aca="false">SUM(L45:L56)</f>
        <v>0</v>
      </c>
      <c r="M57" s="50" t="n">
        <f aca="false">SUM(M45:M56)</f>
        <v>2980402242</v>
      </c>
      <c r="N57" s="52" t="n">
        <v>0.9</v>
      </c>
      <c r="O57" s="50" t="n">
        <f aca="false">SUM(O45:O56)</f>
        <v>2682362018</v>
      </c>
      <c r="P57" s="51" t="n">
        <f aca="false">SUM(P45:P56)</f>
        <v>0.249197115963482</v>
      </c>
      <c r="XFC57" s="1"/>
      <c r="XFD57" s="1"/>
    </row>
    <row r="58" customFormat="false" ht="13.8" hidden="false" customHeight="false" outlineLevel="0" collapsed="false">
      <c r="H58" s="47" t="str">
        <f aca="false">IFERROR(IF(G58="","",1-G58/F58),0)</f>
        <v/>
      </c>
      <c r="K58" s="53"/>
    </row>
    <row r="59" customFormat="false" ht="13.8" hidden="false" customHeight="false" outlineLevel="0" collapsed="false">
      <c r="B59" s="54" t="s">
        <v>89</v>
      </c>
      <c r="C59" s="54"/>
      <c r="D59" s="54"/>
      <c r="E59" s="54"/>
      <c r="F59" s="55"/>
      <c r="G59" s="55"/>
      <c r="H59" s="56" t="str">
        <f aca="false">IFERROR(IF(G59="","",1-G59/F59),0)</f>
        <v/>
      </c>
      <c r="I59" s="57"/>
      <c r="J59" s="57"/>
      <c r="K59" s="58"/>
      <c r="L59" s="59"/>
      <c r="M59" s="55"/>
      <c r="N59" s="57"/>
      <c r="O59" s="55"/>
      <c r="P59" s="57"/>
    </row>
    <row r="60" customFormat="false" ht="13.8" hidden="false" customHeight="false" outlineLevel="0" collapsed="false">
      <c r="B60" s="1" t="s">
        <v>90</v>
      </c>
      <c r="F60" s="2" t="n">
        <v>193000000</v>
      </c>
      <c r="G60" s="2" t="n">
        <v>113130115</v>
      </c>
      <c r="H60" s="47" t="n">
        <f aca="false">IFERROR(IF(G60="","",1-G60/F60),0)</f>
        <v>0.413833601036269</v>
      </c>
      <c r="I60" s="3" t="n">
        <f aca="false">IFERROR(G60/C6, "")</f>
        <v>0.00905657121787955</v>
      </c>
      <c r="J60" s="3" t="n">
        <f aca="false">IFERROR(G60/$C$5,"")</f>
        <v>0.00910853594442452</v>
      </c>
      <c r="K60" s="47" t="n">
        <v>0.05</v>
      </c>
      <c r="L60" s="4" t="n">
        <f aca="false">IF(K60="","",IF(J60&gt;K60,(J60-K60)*$C$5,0))</f>
        <v>0</v>
      </c>
      <c r="M60" s="2" t="n">
        <v>113130115</v>
      </c>
      <c r="N60" s="3" t="n">
        <v>0.75</v>
      </c>
      <c r="O60" s="2" t="n">
        <v>84847586</v>
      </c>
      <c r="P60" s="3" t="n">
        <f aca="false">IFERROR(IF(F60=0,"",O60/$O$81)*($O$42/SUM($O$14:$O$41)),"")</f>
        <v>0.00788252054934351</v>
      </c>
    </row>
    <row r="61" customFormat="false" ht="13.8" hidden="false" customHeight="false" outlineLevel="0" collapsed="false">
      <c r="B61" s="1" t="s">
        <v>91</v>
      </c>
      <c r="F61" s="2" t="n">
        <v>207000000</v>
      </c>
      <c r="G61" s="2" t="n">
        <v>121336445</v>
      </c>
      <c r="H61" s="47" t="n">
        <f aca="false">IFERROR(IF(G61="","",1-G61/F61),0)</f>
        <v>0.413833599033816</v>
      </c>
      <c r="I61" s="3" t="n">
        <f aca="false">IFERROR(G61/C6, "")</f>
        <v>0.00971352460365505</v>
      </c>
      <c r="J61" s="3" t="n">
        <f aca="false">IFERROR(G61/$C$5,"")</f>
        <v>0.00976925879241959</v>
      </c>
      <c r="K61" s="47" t="n">
        <v>0.05</v>
      </c>
      <c r="L61" s="4" t="n">
        <f aca="false">IF(K61="","",IF(J61&gt;K61,(J61-K61)*$C$5,0))</f>
        <v>0</v>
      </c>
      <c r="M61" s="2" t="n">
        <v>121336445</v>
      </c>
      <c r="N61" s="3" t="n">
        <v>0.75</v>
      </c>
      <c r="O61" s="2" t="n">
        <v>91002334</v>
      </c>
      <c r="P61" s="3" t="n">
        <f aca="false">IFERROR(IF(F61=0,"",O61/$O$81)*($O$42/SUM($O$14:$O$41)),"")</f>
        <v>0.00845430968175361</v>
      </c>
    </row>
    <row r="62" customFormat="false" ht="13.8" hidden="false" customHeight="false" outlineLevel="0" collapsed="false">
      <c r="B62" s="1" t="s">
        <v>92</v>
      </c>
      <c r="F62" s="2" t="n">
        <v>537000000</v>
      </c>
      <c r="G62" s="2" t="n">
        <v>314771142</v>
      </c>
      <c r="H62" s="47" t="n">
        <f aca="false">IFERROR(IF(G62="","",1-G62/F62),0)</f>
        <v>0.413834</v>
      </c>
      <c r="I62" s="3" t="n">
        <f aca="false">IFERROR(G62/C6, "")</f>
        <v>0.0251988364447104</v>
      </c>
      <c r="J62" s="3" t="n">
        <f aca="false">IFERROR(G62/$C$5,"")</f>
        <v>0.025343422139848</v>
      </c>
      <c r="K62" s="47" t="n">
        <v>0.05</v>
      </c>
      <c r="L62" s="4" t="n">
        <f aca="false">IF(K62="","",IF(J62&gt;K62,(J62-K62)*$C$5,0))</f>
        <v>0</v>
      </c>
      <c r="M62" s="2" t="n">
        <v>314771142</v>
      </c>
      <c r="N62" s="3" t="n">
        <v>0.75</v>
      </c>
      <c r="O62" s="2" t="n">
        <v>236078356</v>
      </c>
      <c r="P62" s="3" t="n">
        <f aca="false">IFERROR(IF(F62=0,"",O62/$O$81)*($O$42/SUM($O$14:$O$41)),"")</f>
        <v>0.0219321795722654</v>
      </c>
    </row>
    <row r="63" customFormat="false" ht="13.8" hidden="false" customHeight="false" outlineLevel="0" collapsed="false">
      <c r="B63" s="1" t="s">
        <v>93</v>
      </c>
      <c r="F63" s="2" t="n">
        <v>367000000</v>
      </c>
      <c r="G63" s="2" t="n">
        <v>215122922</v>
      </c>
      <c r="H63" s="47" t="n">
        <f aca="false">IFERROR(IF(G63="","",1-G63/F63),0)</f>
        <v>0.413834</v>
      </c>
      <c r="I63" s="3" t="n">
        <f aca="false">IFERROR(G63/C6, "")</f>
        <v>0.017221551164262</v>
      </c>
      <c r="J63" s="3" t="n">
        <f aca="false">IFERROR(G63/$C$5,"")</f>
        <v>0.017320364851628</v>
      </c>
      <c r="K63" s="47" t="n">
        <v>0.05</v>
      </c>
      <c r="L63" s="4" t="n">
        <f aca="false">IF(K63="","",IF(J63&gt;K63,(J63-K63)*$C$5,0))</f>
        <v>0</v>
      </c>
      <c r="M63" s="2" t="n">
        <v>215122922</v>
      </c>
      <c r="N63" s="3" t="n">
        <v>0.75</v>
      </c>
      <c r="O63" s="2" t="n">
        <v>161342192</v>
      </c>
      <c r="P63" s="3" t="n">
        <f aca="false">IFERROR(IF(F63=0,"",O63/$O$81)*($O$42/SUM($O$14:$O$41)),"")</f>
        <v>0.0149890315549593</v>
      </c>
    </row>
    <row r="64" customFormat="false" ht="13.8" hidden="false" customHeight="false" outlineLevel="0" collapsed="false">
      <c r="B64" s="1" t="s">
        <v>94</v>
      </c>
      <c r="F64" s="2" t="n">
        <v>396000000</v>
      </c>
      <c r="G64" s="2" t="n">
        <v>232121736</v>
      </c>
      <c r="H64" s="47" t="n">
        <f aca="false">IFERROR(IF(G64="","",1-G64/F64),0)</f>
        <v>0.413834</v>
      </c>
      <c r="I64" s="3" t="n">
        <f aca="false">IFERROR(G64/C6, "")</f>
        <v>0.0185823821826915</v>
      </c>
      <c r="J64" s="3" t="n">
        <f aca="false">IFERROR(G64/$C$5,"")</f>
        <v>0.0186890040360891</v>
      </c>
      <c r="K64" s="47" t="n">
        <v>0.05</v>
      </c>
      <c r="L64" s="4" t="n">
        <f aca="false">IF(K64="","",IF(J64&gt;K64,(J64-K64)*$C$5,0))</f>
        <v>0</v>
      </c>
      <c r="M64" s="2" t="n">
        <v>232121736</v>
      </c>
      <c r="N64" s="3" t="n">
        <v>0.75</v>
      </c>
      <c r="O64" s="2" t="n">
        <v>174091302</v>
      </c>
      <c r="P64" s="3" t="n">
        <f aca="false">IFERROR(IF(F64=0,"",O64/$O$81)*($O$42/SUM($O$14:$O$41)),"")</f>
        <v>0.0161734508920144</v>
      </c>
    </row>
    <row r="65" customFormat="false" ht="13.8" hidden="false" customHeight="false" outlineLevel="0" collapsed="false">
      <c r="B65" s="1" t="s">
        <v>95</v>
      </c>
      <c r="F65" s="2" t="n">
        <v>227000000</v>
      </c>
      <c r="G65" s="2" t="n">
        <v>133059682</v>
      </c>
      <c r="H65" s="47" t="n">
        <f aca="false">IFERROR(IF(G65="","",1-G65/F65),0)</f>
        <v>0.413834</v>
      </c>
      <c r="I65" s="3" t="n">
        <f aca="false">IFERROR(G65/C6, "")</f>
        <v>0.0106520221097752</v>
      </c>
      <c r="J65" s="3" t="n">
        <f aca="false">IFERROR(G65/$C$5,"")</f>
        <v>0.0107131412025056</v>
      </c>
      <c r="K65" s="47" t="n">
        <v>0.05</v>
      </c>
      <c r="L65" s="4" t="n">
        <f aca="false">IF(K65="","",IF(J65&gt;K65,(J65-K65)*$C$5,0))</f>
        <v>0</v>
      </c>
      <c r="M65" s="2" t="n">
        <v>133059682</v>
      </c>
      <c r="N65" s="3" t="n">
        <v>0.75</v>
      </c>
      <c r="O65" s="2" t="n">
        <v>99794762</v>
      </c>
      <c r="P65" s="3" t="n">
        <f aca="false">IFERROR(IF(F65=0,"",O65/$O$81)*($O$42/SUM($O$14:$O$41)),"")</f>
        <v>0.00927114487596436</v>
      </c>
    </row>
    <row r="66" customFormat="false" ht="13.8" hidden="false" customHeight="false" outlineLevel="0" collapsed="false">
      <c r="B66" s="66" t="s">
        <v>96</v>
      </c>
      <c r="C66" s="66"/>
      <c r="D66" s="66"/>
      <c r="E66" s="66"/>
      <c r="F66" s="67" t="n">
        <v>94000000</v>
      </c>
      <c r="G66" s="67" t="n">
        <v>55099604</v>
      </c>
      <c r="H66" s="68" t="n">
        <f aca="false">IFERROR(IF(G66="","",1-G66/F66),0)</f>
        <v>0.413834</v>
      </c>
      <c r="I66" s="69" t="n">
        <f aca="false">IFERROR(G66/C6, "")</f>
        <v>0.00441096950801262</v>
      </c>
      <c r="J66" s="69" t="n">
        <f aca="false">IFERROR(G66/$C$5,"")</f>
        <v>0.00443627873583932</v>
      </c>
      <c r="K66" s="68" t="n">
        <v>0.05</v>
      </c>
      <c r="L66" s="70" t="n">
        <f aca="false">IF(K66="","",IF(J66&gt;K66,(J66-K66)*$C$5,0))</f>
        <v>0</v>
      </c>
      <c r="M66" s="67" t="n">
        <v>55099604</v>
      </c>
      <c r="N66" s="69" t="n">
        <v>0.75</v>
      </c>
      <c r="O66" s="67" t="n">
        <v>41324703</v>
      </c>
      <c r="P66" s="69" t="n">
        <f aca="false">IFERROR(IF(F66=0,"",O66/$O$81)*($O$42/SUM($O$14:$O$41)),"")</f>
        <v>0.00383915248446806</v>
      </c>
    </row>
    <row r="67" customFormat="false" ht="13.8" hidden="false" customHeight="false" outlineLevel="0" collapsed="false">
      <c r="B67" s="1" t="s">
        <v>97</v>
      </c>
      <c r="F67" s="2" t="n">
        <v>563000000</v>
      </c>
      <c r="G67" s="2" t="n">
        <v>258543675</v>
      </c>
      <c r="H67" s="47" t="n">
        <f aca="false">IFERROR(IF(G67="","",1-G67/F67),0)</f>
        <v>0.540775</v>
      </c>
      <c r="I67" s="3" t="n">
        <f aca="false">IFERROR(G67/C6, "")</f>
        <v>0.0206975764637895</v>
      </c>
      <c r="J67" s="3" t="n">
        <f aca="false">IFERROR(G67/$C$5,"")</f>
        <v>0.0208163348631009</v>
      </c>
      <c r="K67" s="47" t="n">
        <v>0.05</v>
      </c>
      <c r="L67" s="4" t="n">
        <f aca="false">IF(K67="","",IF(J67&gt;K67,(J67-K67)*$C$5,0))</f>
        <v>0</v>
      </c>
      <c r="M67" s="2" t="n">
        <v>258543675</v>
      </c>
      <c r="N67" s="3" t="n">
        <v>0.75</v>
      </c>
      <c r="O67" s="2" t="n">
        <v>193907756</v>
      </c>
      <c r="P67" s="3" t="n">
        <f aca="false">IFERROR(IF(F67=0,"",O67/$O$81)*($O$42/SUM($O$14:$O$41)),"")</f>
        <v>0.0180144414638631</v>
      </c>
    </row>
    <row r="68" customFormat="false" ht="13.8" hidden="false" customHeight="false" outlineLevel="0" collapsed="false">
      <c r="B68" s="1" t="s">
        <v>98</v>
      </c>
      <c r="F68" s="2" t="n">
        <v>523000000</v>
      </c>
      <c r="G68" s="2" t="n">
        <v>240174675</v>
      </c>
      <c r="H68" s="47" t="n">
        <f aca="false">IFERROR(IF(G68="","",1-G68/F68),0)</f>
        <v>0.540775</v>
      </c>
      <c r="I68" s="3" t="n">
        <f aca="false">IFERROR(G68/C6, "")</f>
        <v>0.0192270559335025</v>
      </c>
      <c r="J68" s="3" t="n">
        <f aca="false">IFERROR(G68/$C$5,"")</f>
        <v>0.0193373767911221</v>
      </c>
      <c r="K68" s="47" t="n">
        <v>0.05</v>
      </c>
      <c r="L68" s="4" t="n">
        <f aca="false">IF(K68="","",IF(J68&gt;K68,(J68-K68)*$C$5,0))</f>
        <v>0</v>
      </c>
      <c r="M68" s="2" t="n">
        <v>240174675</v>
      </c>
      <c r="N68" s="3" t="n">
        <v>0.75</v>
      </c>
      <c r="O68" s="2" t="n">
        <v>180131006</v>
      </c>
      <c r="P68" s="3" t="n">
        <f aca="false">IFERROR(IF(F68=0,"",O68/$O$81)*($O$42/SUM($O$14:$O$41)),"")</f>
        <v>0.016734552193022</v>
      </c>
    </row>
    <row r="69" customFormat="false" ht="13.8" hidden="false" customHeight="false" outlineLevel="0" collapsed="false">
      <c r="B69" s="1" t="s">
        <v>99</v>
      </c>
      <c r="F69" s="2" t="n">
        <v>278000000</v>
      </c>
      <c r="G69" s="2" t="n">
        <v>127664550</v>
      </c>
      <c r="H69" s="47" t="n">
        <f aca="false">IFERROR(IF(G69="","",1-G69/F69),0)</f>
        <v>0.540775</v>
      </c>
      <c r="I69" s="3" t="n">
        <f aca="false">IFERROR(G69/C6, "")</f>
        <v>0.0102201176854947</v>
      </c>
      <c r="J69" s="3" t="n">
        <f aca="false">IFERROR(G69/$C$5,"")</f>
        <v>0.0102787586002523</v>
      </c>
      <c r="K69" s="47" t="n">
        <v>0.05</v>
      </c>
      <c r="L69" s="4" t="n">
        <f aca="false">IF(K69="","",IF(J69&gt;K69,(J69-K69)*$C$5,0))</f>
        <v>0</v>
      </c>
      <c r="M69" s="2" t="n">
        <v>127664550</v>
      </c>
      <c r="N69" s="3" t="n">
        <v>0.75</v>
      </c>
      <c r="O69" s="2" t="n">
        <v>95748412</v>
      </c>
      <c r="P69" s="3" t="n">
        <f aca="false">IFERROR(IF(F69=0,"",O69/$O$81)*($O$42/SUM($O$14:$O$41)),"")</f>
        <v>0.00889523038589464</v>
      </c>
    </row>
    <row r="70" customFormat="false" ht="13.8" hidden="false" customHeight="false" outlineLevel="0" collapsed="false">
      <c r="B70" s="1" t="s">
        <v>100</v>
      </c>
      <c r="F70" s="2" t="n">
        <v>519000000</v>
      </c>
      <c r="G70" s="2" t="n">
        <v>304220154</v>
      </c>
      <c r="H70" s="47" t="n">
        <f aca="false">IFERROR(IF(G70="","",1-G70/F70),0)</f>
        <v>0.413834</v>
      </c>
      <c r="I70" s="3" t="n">
        <f aca="false">IFERROR(G70/C6, "")</f>
        <v>0.0243541827091335</v>
      </c>
      <c r="J70" s="3" t="n">
        <f aca="false">IFERROR(G70/$C$5,"")</f>
        <v>0.0244939219563895</v>
      </c>
      <c r="K70" s="47" t="n">
        <v>0.05</v>
      </c>
      <c r="L70" s="4" t="n">
        <f aca="false">IF(K70="","",IF(J70&gt;K70,(J70-K70)*$C$5,0))</f>
        <v>0</v>
      </c>
      <c r="M70" s="2" t="n">
        <v>304220154</v>
      </c>
      <c r="N70" s="3" t="n">
        <v>0.75</v>
      </c>
      <c r="O70" s="2" t="n">
        <v>228165116</v>
      </c>
      <c r="P70" s="3" t="n">
        <f aca="false">IFERROR(IF(F70=0,"",O70/$O$81)*($O$42/SUM($O$14:$O$41)),"")</f>
        <v>0.0211970228064396</v>
      </c>
    </row>
    <row r="71" customFormat="false" ht="13.8" hidden="false" customHeight="false" outlineLevel="0" collapsed="false">
      <c r="B71" s="1" t="s">
        <v>101</v>
      </c>
      <c r="F71" s="2" t="n">
        <v>451000000</v>
      </c>
      <c r="G71" s="2" t="n">
        <v>264360866</v>
      </c>
      <c r="H71" s="47" t="n">
        <f aca="false">IFERROR(IF(G71="","",1-G71/F71),0)</f>
        <v>0.413834</v>
      </c>
      <c r="I71" s="3" t="n">
        <f aca="false">IFERROR(G71/C6, "")</f>
        <v>0.0211632685969542</v>
      </c>
      <c r="J71" s="3" t="n">
        <f aca="false">IFERROR(G71/$C$5,"")</f>
        <v>0.0212846990411014</v>
      </c>
      <c r="K71" s="47" t="n">
        <v>0.05</v>
      </c>
      <c r="L71" s="4" t="n">
        <f aca="false">IF(K71="","",IF(J71&gt;K71,(J71-K71)*$C$5,0))</f>
        <v>0</v>
      </c>
      <c r="M71" s="2" t="n">
        <v>264360866</v>
      </c>
      <c r="N71" s="3" t="n">
        <v>0.75</v>
      </c>
      <c r="O71" s="2" t="n">
        <v>198270650</v>
      </c>
      <c r="P71" s="3" t="n">
        <f aca="false">IFERROR(IF(F71=0,"",O71/$O$81)*($O$42/SUM($O$14:$O$41)),"")</f>
        <v>0.0184197635623563</v>
      </c>
    </row>
    <row r="72" customFormat="false" ht="13.8" hidden="false" customHeight="false" outlineLevel="0" collapsed="false">
      <c r="B72" s="1" t="s">
        <v>102</v>
      </c>
      <c r="F72" s="2" t="n">
        <v>491000000</v>
      </c>
      <c r="G72" s="2" t="n">
        <v>287807506</v>
      </c>
      <c r="H72" s="47" t="n">
        <f aca="false">IFERROR(IF(G72="","",1-G72/F72),0)</f>
        <v>0.413834</v>
      </c>
      <c r="I72" s="3" t="n">
        <f aca="false">IFERROR(G72/C6, "")</f>
        <v>0.0230402768982361</v>
      </c>
      <c r="J72" s="3" t="n">
        <f aca="false">IFERROR(G72/$C$5,"")</f>
        <v>0.023172477226565</v>
      </c>
      <c r="K72" s="47" t="n">
        <v>0.05</v>
      </c>
      <c r="L72" s="4" t="n">
        <f aca="false">IF(K72="","",IF(J72&gt;K72,(J72-K72)*$C$5,0))</f>
        <v>0</v>
      </c>
      <c r="M72" s="2" t="n">
        <v>287807506</v>
      </c>
      <c r="N72" s="3" t="n">
        <v>0.75</v>
      </c>
      <c r="O72" s="2" t="n">
        <v>215855630</v>
      </c>
      <c r="P72" s="3" t="n">
        <f aca="false">IFERROR(IF(F72=0,"",O72/$O$81)*($O$42/SUM($O$14:$O$41)),"")</f>
        <v>0.0200534454706406</v>
      </c>
    </row>
    <row r="73" customFormat="false" ht="13.8" hidden="false" customHeight="false" outlineLevel="0" collapsed="false">
      <c r="B73" s="1" t="s">
        <v>103</v>
      </c>
      <c r="F73" s="2" t="n">
        <v>100000000</v>
      </c>
      <c r="G73" s="2" t="n">
        <v>45922500</v>
      </c>
      <c r="H73" s="47" t="n">
        <f aca="false">IFERROR(IF(G73="","",1-G73/F73),0)</f>
        <v>0.540775</v>
      </c>
      <c r="I73" s="3" t="n">
        <f aca="false">IFERROR(G73/C6, "")</f>
        <v>0.0036763013257175</v>
      </c>
      <c r="J73" s="3" t="n">
        <f aca="false">IFERROR(G73/$C$5,"")</f>
        <v>0.00369739517994687</v>
      </c>
      <c r="K73" s="47" t="n">
        <v>0.05</v>
      </c>
      <c r="L73" s="4" t="n">
        <f aca="false">IF(K73="","",IF(J73&gt;K73,(J73-K73)*$C$5,0))</f>
        <v>0</v>
      </c>
      <c r="M73" s="2" t="n">
        <v>45922500</v>
      </c>
      <c r="N73" s="3" t="n">
        <v>0.75</v>
      </c>
      <c r="O73" s="2" t="n">
        <v>34441875</v>
      </c>
      <c r="P73" s="3" t="n">
        <f aca="false">IFERROR(IF(F73=0,"",O73/$O$81)*($O$42/SUM($O$14:$O$41)),"")</f>
        <v>0.00319972317710277</v>
      </c>
    </row>
    <row r="74" s="48" customFormat="true" ht="13.8" hidden="false" customHeight="false" outlineLevel="0" collapsed="false">
      <c r="B74" s="49" t="s">
        <v>104</v>
      </c>
      <c r="C74" s="49"/>
      <c r="D74" s="49"/>
      <c r="E74" s="49"/>
      <c r="F74" s="50" t="n">
        <f aca="false">SUM(F60:F73)</f>
        <v>4946000000</v>
      </c>
      <c r="G74" s="50" t="n">
        <f aca="false">SUM(G60:G73)</f>
        <v>2713335572</v>
      </c>
      <c r="H74" s="50"/>
      <c r="I74" s="51" t="n">
        <f aca="false">SUM(I60:I73)</f>
        <v>0.217214636843814</v>
      </c>
      <c r="J74" s="51" t="n">
        <f aca="false">SUM(J60:J73)</f>
        <v>0.218460969361232</v>
      </c>
      <c r="K74" s="52" t="n">
        <v>1</v>
      </c>
      <c r="L74" s="50" t="n">
        <f aca="false">SUM(L60:L73)</f>
        <v>0</v>
      </c>
      <c r="M74" s="50" t="n">
        <f aca="false">SUM(M60:M73)</f>
        <v>2713335572</v>
      </c>
      <c r="N74" s="52" t="n">
        <v>0.75</v>
      </c>
      <c r="O74" s="50" t="n">
        <f aca="false">SUM(O60:O73)</f>
        <v>2035001680</v>
      </c>
      <c r="P74" s="51" t="n">
        <f aca="false">SUM(P60:P73)</f>
        <v>0.189055968670088</v>
      </c>
      <c r="XFC74" s="1"/>
      <c r="XFD74" s="1"/>
    </row>
    <row r="75" customFormat="false" ht="13.8" hidden="false" customHeight="false" outlineLevel="0" collapsed="false">
      <c r="H75" s="71" t="str">
        <f aca="false">IFERROR(IF(G75="","",1-G75/F75),0)</f>
        <v/>
      </c>
      <c r="I75" s="72"/>
      <c r="K75" s="53"/>
    </row>
    <row r="76" s="48" customFormat="true" ht="13.8" hidden="false" customHeight="false" outlineLevel="0" collapsed="false">
      <c r="B76" s="54" t="s">
        <v>105</v>
      </c>
      <c r="C76" s="54"/>
      <c r="D76" s="54"/>
      <c r="E76" s="54"/>
      <c r="F76" s="73"/>
      <c r="G76" s="73"/>
      <c r="H76" s="74" t="str">
        <f aca="false">IFERROR(IF(G76="","",1-G76/F76),0)</f>
        <v/>
      </c>
      <c r="I76" s="75"/>
      <c r="J76" s="76"/>
      <c r="K76" s="77"/>
      <c r="L76" s="78"/>
      <c r="M76" s="73"/>
      <c r="N76" s="76"/>
      <c r="O76" s="73"/>
      <c r="P76" s="76"/>
    </row>
    <row r="77" customFormat="false" ht="13.8" hidden="false" customHeight="false" outlineLevel="0" collapsed="false">
      <c r="B77" s="1" t="s">
        <v>106</v>
      </c>
      <c r="F77" s="2" t="n">
        <v>62667600</v>
      </c>
      <c r="G77" s="2" t="n">
        <v>36777999</v>
      </c>
      <c r="H77" s="47" t="n">
        <f aca="false">IFERROR(IF(G77="","",1-G77/F77),0)</f>
        <v>0.413125777913946</v>
      </c>
      <c r="I77" s="3" t="n">
        <f aca="false">IFERROR(G76/C6, "")</f>
        <v>0</v>
      </c>
      <c r="J77" s="3" t="n">
        <f aca="false">IFERROR(G77/$C$5,"")</f>
        <v>0.00296113661561742</v>
      </c>
      <c r="K77" s="47" t="n">
        <v>0.03</v>
      </c>
      <c r="L77" s="4" t="n">
        <f aca="false">IF(K77="","",IF(J77&gt;K77,(J77-K77)*$C$5,0))</f>
        <v>0</v>
      </c>
      <c r="M77" s="2" t="n">
        <v>36777999</v>
      </c>
      <c r="N77" s="3" t="n">
        <v>0.75</v>
      </c>
      <c r="O77" s="2" t="n">
        <v>27583499</v>
      </c>
      <c r="P77" s="3" t="n">
        <f aca="false">IFERROR(IF(F77=0,"",O77/$O$81)*($O$42/SUM($O$14:$O$41)),"")</f>
        <v>0.00256256551235643</v>
      </c>
    </row>
    <row r="78" customFormat="false" ht="13.8" hidden="false" customHeight="false" outlineLevel="0" collapsed="false">
      <c r="B78" s="1" t="s">
        <v>107</v>
      </c>
      <c r="F78" s="2" t="n">
        <v>19030100</v>
      </c>
      <c r="G78" s="2" t="n">
        <v>11154803</v>
      </c>
      <c r="H78" s="47" t="n">
        <f aca="false">IFERROR(IF(G78="","",1-G78/F78),0)</f>
        <v>0.413833716060346</v>
      </c>
      <c r="I78" s="3" t="n">
        <f aca="false">IFERROR(G77/C6, "")</f>
        <v>0.00294424315925607</v>
      </c>
      <c r="J78" s="3" t="n">
        <f aca="false">IFERROR(G78/$C$5,"")</f>
        <v>0.000898115626228034</v>
      </c>
      <c r="K78" s="47" t="n">
        <v>0.01</v>
      </c>
      <c r="L78" s="4" t="n">
        <f aca="false">IF(K78="","",IF(J78&gt;K78,(J78-K78)*$C$5,0))</f>
        <v>0</v>
      </c>
      <c r="M78" s="2" t="n">
        <v>11154803</v>
      </c>
      <c r="N78" s="3" t="n">
        <v>0.75</v>
      </c>
      <c r="O78" s="2" t="n">
        <v>8366102</v>
      </c>
      <c r="P78" s="3" t="n">
        <f aca="false">IFERROR(IF(F78=0,"",O78/$O$81)*($O$42/SUM($O$14:$O$41)),"")</f>
        <v>0.000777228605335971</v>
      </c>
    </row>
    <row r="79" s="48" customFormat="true" ht="13.8" hidden="false" customHeight="false" outlineLevel="0" collapsed="false">
      <c r="B79" s="49" t="s">
        <v>108</v>
      </c>
      <c r="C79" s="49"/>
      <c r="D79" s="49"/>
      <c r="E79" s="49"/>
      <c r="F79" s="50" t="n">
        <f aca="false">SUM(F77:F78)</f>
        <v>81697700</v>
      </c>
      <c r="G79" s="50" t="n">
        <f aca="false">SUM(G77:G78)</f>
        <v>47932802</v>
      </c>
      <c r="H79" s="50"/>
      <c r="I79" s="51" t="n">
        <f aca="false">SUM(I77:I78)</f>
        <v>0.00294424315925607</v>
      </c>
      <c r="J79" s="51" t="n">
        <f aca="false">SUM(J77:J78)</f>
        <v>0.00385925224184545</v>
      </c>
      <c r="K79" s="52" t="n">
        <v>1</v>
      </c>
      <c r="L79" s="50" t="n">
        <f aca="false">SUM(L77:L78)</f>
        <v>0</v>
      </c>
      <c r="M79" s="50" t="n">
        <f aca="false">SUM(M77:M78)</f>
        <v>47932802</v>
      </c>
      <c r="N79" s="52" t="n">
        <v>0.75</v>
      </c>
      <c r="O79" s="50" t="n">
        <f aca="false">SUM(O77:O78)</f>
        <v>35949601</v>
      </c>
      <c r="P79" s="51" t="n">
        <f aca="false">SUM(P77:P78)</f>
        <v>0.0033397941176924</v>
      </c>
      <c r="XFC79" s="1"/>
      <c r="XFD79" s="1"/>
    </row>
    <row r="80" customFormat="false" ht="13.8" hidden="false" customHeight="false" outlineLevel="0" collapsed="false">
      <c r="H80" s="47"/>
      <c r="K80" s="47"/>
    </row>
    <row r="81" s="46" customFormat="true" ht="13.8" hidden="false" customHeight="false" outlineLevel="0" collapsed="false">
      <c r="B81" s="79" t="s">
        <v>109</v>
      </c>
      <c r="C81" s="79"/>
      <c r="D81" s="79"/>
      <c r="E81" s="79"/>
      <c r="F81" s="80" t="n">
        <f aca="false">SUM(F79,F74,F57,F42)</f>
        <v>22784134325</v>
      </c>
      <c r="G81" s="80" t="n">
        <f aca="false">SUM(G79,G74,G57,G42)</f>
        <v>12420230396</v>
      </c>
      <c r="H81" s="80"/>
      <c r="I81" s="81" t="n">
        <f aca="false">SUM(I79,I74,I57,I42)</f>
        <v>0.99340195010016</v>
      </c>
      <c r="J81" s="81" t="n">
        <f aca="false">SUM(J79,J74,J57,J42)</f>
        <v>1</v>
      </c>
      <c r="K81" s="82" t="n">
        <v>1</v>
      </c>
      <c r="L81" s="80" t="n">
        <f aca="false">SUM(L79,L74,L57,L42)</f>
        <v>0</v>
      </c>
      <c r="M81" s="80" t="n">
        <f aca="false">SUM(M79,M74,M57,M42)</f>
        <v>12420230396</v>
      </c>
      <c r="N81" s="82" t="n">
        <v>0.75</v>
      </c>
      <c r="O81" s="80" t="n">
        <f aca="false">SUM(O79,O74,O57,O42)</f>
        <v>10764017102</v>
      </c>
      <c r="P81" s="83"/>
    </row>
    <row r="82" customFormat="false" ht="13.8" hidden="false" customHeight="false" outlineLevel="0" collapsed="false">
      <c r="H82" s="47"/>
      <c r="K82" s="47"/>
    </row>
    <row r="83" customFormat="false" ht="13.8" hidden="false" customHeight="false" outlineLevel="0" collapsed="false">
      <c r="B83" s="54" t="s">
        <v>110</v>
      </c>
      <c r="C83" s="54"/>
      <c r="D83" s="54"/>
      <c r="E83" s="54"/>
      <c r="F83" s="55"/>
      <c r="G83" s="55"/>
      <c r="H83" s="56" t="str">
        <f aca="false">IFERROR(IF(G83="","",1-G83/F83),0)</f>
        <v/>
      </c>
      <c r="I83" s="57"/>
      <c r="J83" s="57"/>
      <c r="K83" s="58"/>
      <c r="L83" s="59"/>
      <c r="M83" s="55"/>
      <c r="N83" s="57"/>
      <c r="O83" s="55"/>
      <c r="P83" s="57"/>
    </row>
    <row r="84" customFormat="false" ht="13.8" hidden="false" customHeight="false" outlineLevel="0" collapsed="false">
      <c r="B84" s="1" t="s">
        <v>111</v>
      </c>
      <c r="F84" s="2" t="n">
        <v>25000000</v>
      </c>
      <c r="G84" s="2" t="n">
        <v>14654161</v>
      </c>
      <c r="H84" s="47" t="n">
        <f aca="false">IFERROR(IF(G84="","",1-G84/F84),0)</f>
        <v>0.41383356</v>
      </c>
      <c r="I84" s="3" t="n">
        <f aca="false">IFERROR(G84/C6, "")</f>
        <v>0.00117313106890038</v>
      </c>
      <c r="J84" s="3" t="n">
        <f aca="false">IFERROR(G84/$C$5,"")</f>
        <v>0.00117986225156656</v>
      </c>
      <c r="K84" s="47" t="n">
        <v>0.01</v>
      </c>
      <c r="L84" s="4" t="n">
        <f aca="false">IF(K84="","",IF(J84&gt;K84,(J84-K84)*$C$5,0))</f>
        <v>0</v>
      </c>
      <c r="M84" s="2" t="n">
        <v>14654161</v>
      </c>
      <c r="N84" s="3" t="n">
        <v>0.75</v>
      </c>
      <c r="O84" s="2" t="n">
        <v>10990621</v>
      </c>
      <c r="P84" s="3" t="n">
        <f aca="false">IFERROR(IF(F84=0,"",O84/$O$81)*($O$42/SUM($O$14:$O$41)),"")</f>
        <v>0.00102105198234569</v>
      </c>
    </row>
    <row r="85" customFormat="false" ht="13.8" hidden="false" customHeight="false" outlineLevel="0" collapsed="false">
      <c r="B85" s="1" t="s">
        <v>112</v>
      </c>
      <c r="F85" s="2" t="n">
        <v>450000</v>
      </c>
      <c r="G85" s="2" t="n">
        <v>263777</v>
      </c>
      <c r="H85" s="47" t="n">
        <f aca="false">IFERROR(IF(G85="","",1-G85/F85),0)</f>
        <v>0.413828888888889</v>
      </c>
      <c r="I85" s="3" t="n">
        <f aca="false">IFERROR(G85/C6, "")</f>
        <v>2.11165275146995E-005</v>
      </c>
      <c r="J85" s="3" t="n">
        <f aca="false">IFERROR(G85/$C$5,"")</f>
        <v>2.12376897682148E-005</v>
      </c>
      <c r="K85" s="47" t="n">
        <v>0.01</v>
      </c>
      <c r="L85" s="4" t="n">
        <f aca="false">IF(K85="","",IF(J85&gt;K85,(J85-K85)*$C$5,0))</f>
        <v>0</v>
      </c>
      <c r="M85" s="2" t="n">
        <v>263777</v>
      </c>
      <c r="N85" s="3" t="n">
        <v>0.75</v>
      </c>
      <c r="O85" s="2" t="n">
        <v>197833</v>
      </c>
      <c r="P85" s="3" t="n">
        <f aca="false">IFERROR(IF(F85=0,"",O85/$O$81)*($O$42/SUM($O$14:$O$41)),"")</f>
        <v>1.83791049498836E-005</v>
      </c>
    </row>
    <row r="86" customFormat="false" ht="13.8" hidden="false" customHeight="false" outlineLevel="0" collapsed="false">
      <c r="B86" s="1" t="s">
        <v>113</v>
      </c>
      <c r="F86" s="2" t="n">
        <v>250000</v>
      </c>
      <c r="G86" s="2" t="n">
        <v>146544</v>
      </c>
      <c r="H86" s="47" t="n">
        <f aca="false">IFERROR(IF(G86="","",1-G86/F86),0)</f>
        <v>0.413824</v>
      </c>
      <c r="I86" s="3" t="n">
        <f aca="false">IFERROR(G86/C6, "")</f>
        <v>1.17315020191833E-005</v>
      </c>
      <c r="J86" s="3" t="n">
        <f aca="false">IFERROR(G86/$C$5,"")</f>
        <v>1.1798814943658E-005</v>
      </c>
      <c r="K86" s="47" t="n">
        <v>0.01</v>
      </c>
      <c r="L86" s="4" t="n">
        <f aca="false">IF(K86="","",IF(J86&gt;K86,(J86-K86)*$C$5,0))</f>
        <v>0</v>
      </c>
      <c r="M86" s="2" t="n">
        <v>146544</v>
      </c>
      <c r="N86" s="3" t="n">
        <v>0.75</v>
      </c>
      <c r="O86" s="2" t="n">
        <v>109908</v>
      </c>
      <c r="P86" s="3" t="n">
        <f aca="false">IFERROR(IF(F86=0,"",O86/$O$81)*($O$42/SUM($O$14:$O$41)),"")</f>
        <v>1.02106861182503E-005</v>
      </c>
    </row>
    <row r="87" customFormat="false" ht="13.8" hidden="false" customHeight="false" outlineLevel="0" collapsed="false">
      <c r="B87" s="1" t="s">
        <v>114</v>
      </c>
      <c r="F87" s="2" t="n">
        <v>500000</v>
      </c>
      <c r="G87" s="2" t="n">
        <v>293082</v>
      </c>
      <c r="H87" s="47" t="n">
        <f aca="false">IFERROR(IF(G87="","",1-G87/F87),0)</f>
        <v>0.413836</v>
      </c>
      <c r="I87" s="3" t="n">
        <f aca="false">IFERROR(G87/C6, "")</f>
        <v>2.34625237115562E-005</v>
      </c>
      <c r="J87" s="3" t="n">
        <f aca="false">IFERROR(G87/$C$5,"")</f>
        <v>2.35971468044899E-005</v>
      </c>
      <c r="K87" s="47" t="n">
        <v>0.01</v>
      </c>
      <c r="L87" s="4" t="n">
        <f aca="false">IF(K87="","",IF(J87&gt;K87,(J87-K87)*$C$5,0))</f>
        <v>0</v>
      </c>
      <c r="M87" s="2" t="n">
        <v>293082</v>
      </c>
      <c r="N87" s="3" t="n">
        <v>0.75</v>
      </c>
      <c r="O87" s="2" t="n">
        <v>219812</v>
      </c>
      <c r="P87" s="3" t="n">
        <f aca="false">IFERROR(IF(F87=0,"",O87/$O$81)*($O$42/SUM($O$14:$O$41)),"")</f>
        <v>2.04210006280237E-005</v>
      </c>
    </row>
    <row r="88" customFormat="false" ht="13.8" hidden="false" customHeight="false" outlineLevel="0" collapsed="false">
      <c r="B88" s="1" t="s">
        <v>115</v>
      </c>
      <c r="F88" s="2" t="n">
        <v>500000</v>
      </c>
      <c r="G88" s="2" t="n">
        <v>293082</v>
      </c>
      <c r="H88" s="47" t="n">
        <f aca="false">IFERROR(IF(G88="","",1-G88/F88),0)</f>
        <v>0.413836</v>
      </c>
      <c r="I88" s="3" t="n">
        <f aca="false">IFERROR(G88/C6, "")</f>
        <v>2.34625237115562E-005</v>
      </c>
      <c r="J88" s="3" t="n">
        <f aca="false">IFERROR(G88/$C$5,"")</f>
        <v>2.35971468044899E-005</v>
      </c>
      <c r="K88" s="47" t="n">
        <v>0.01</v>
      </c>
      <c r="L88" s="4" t="n">
        <f aca="false">IF(K88="","",IF(J88&gt;K88,(J88-K88)*$C$5,0))</f>
        <v>0</v>
      </c>
      <c r="M88" s="2" t="n">
        <v>293082</v>
      </c>
      <c r="N88" s="3" t="n">
        <v>0.75</v>
      </c>
      <c r="O88" s="2" t="n">
        <v>219812</v>
      </c>
      <c r="P88" s="3" t="n">
        <f aca="false">IFERROR(IF(F88=0,"",O88/$O$81)*($O$42/SUM($O$14:$O$41)),"")</f>
        <v>2.04210006280237E-005</v>
      </c>
    </row>
    <row r="89" customFormat="false" ht="13.8" hidden="false" customHeight="false" outlineLevel="0" collapsed="false">
      <c r="B89" s="1" t="s">
        <v>116</v>
      </c>
      <c r="F89" s="2" t="n">
        <v>2000000</v>
      </c>
      <c r="G89" s="2" t="n">
        <v>1172334</v>
      </c>
      <c r="H89" s="47" t="n">
        <f aca="false">IFERROR(IF(G89="","",1-G89/F89),0)</f>
        <v>0.413833</v>
      </c>
      <c r="I89" s="3" t="n">
        <f aca="false">IFERROR(G89/C6, "")</f>
        <v>9.38505751730351E-005</v>
      </c>
      <c r="J89" s="3" t="n">
        <f aca="false">IFERROR(G89/$C$5,"")</f>
        <v>9.43890703007858E-005</v>
      </c>
      <c r="K89" s="47" t="n">
        <v>0.01</v>
      </c>
      <c r="L89" s="4" t="n">
        <f aca="false">IF(K89="","",IF(J89&gt;K89,(J89-K89)*$C$5,0))</f>
        <v>0</v>
      </c>
      <c r="M89" s="2" t="n">
        <v>1172334</v>
      </c>
      <c r="N89" s="3" t="n">
        <v>0.75</v>
      </c>
      <c r="O89" s="2" t="n">
        <v>879251</v>
      </c>
      <c r="P89" s="3" t="n">
        <f aca="false">IFERROR(IF(F89=0,"",O89/$O$81)*($O$42/SUM($O$14:$O$41)),"")</f>
        <v>8.16842812184525E-005</v>
      </c>
    </row>
    <row r="90" customFormat="false" ht="13.8" hidden="false" customHeight="false" outlineLevel="0" collapsed="false">
      <c r="B90" s="1" t="s">
        <v>117</v>
      </c>
      <c r="F90" s="2" t="n">
        <v>1000000</v>
      </c>
      <c r="G90" s="2" t="n">
        <v>586166</v>
      </c>
      <c r="H90" s="47" t="n">
        <f aca="false">IFERROR(IF(G90="","",1-G90/F90),0)</f>
        <v>0.413834</v>
      </c>
      <c r="I90" s="3" t="n">
        <f aca="false">IFERROR(G90/C6, "")</f>
        <v>4.69252075320491E-005</v>
      </c>
      <c r="J90" s="3" t="n">
        <f aca="false">IFERROR(G90/$C$5,"")</f>
        <v>4.71944546365885E-005</v>
      </c>
      <c r="K90" s="47" t="n">
        <v>0.01</v>
      </c>
      <c r="L90" s="4" t="n">
        <f aca="false">IF(K90="","",IF(J90&gt;K90,(J90-K90)*$C$5,0))</f>
        <v>0</v>
      </c>
      <c r="M90" s="2" t="n">
        <v>586166</v>
      </c>
      <c r="N90" s="3" t="n">
        <v>0.75</v>
      </c>
      <c r="O90" s="2" t="n">
        <v>439626</v>
      </c>
      <c r="P90" s="3" t="n">
        <f aca="false">IFERROR(IF(F90=0,"",O90/$O$81)*($O$42/SUM($O$14:$O$41)),"")</f>
        <v>4.08421870602859E-005</v>
      </c>
    </row>
    <row r="91" customFormat="false" ht="13.8" hidden="false" customHeight="false" outlineLevel="0" collapsed="false">
      <c r="B91" s="1" t="s">
        <v>118</v>
      </c>
      <c r="F91" s="2" t="n">
        <v>400000</v>
      </c>
      <c r="G91" s="2" t="n">
        <v>234466</v>
      </c>
      <c r="H91" s="47" t="n">
        <f aca="false">IFERROR(IF(G91="","",1-G91/F91),0)</f>
        <v>0.413835</v>
      </c>
      <c r="I91" s="3" t="n">
        <f aca="false">IFERROR(G91/C6, "")</f>
        <v>1.87700509910323E-005</v>
      </c>
      <c r="J91" s="3" t="n">
        <f aca="false">IFERROR(G91/$C$5,"")</f>
        <v>1.88777496491137E-005</v>
      </c>
      <c r="K91" s="47" t="n">
        <v>0.01</v>
      </c>
      <c r="L91" s="4" t="n">
        <f aca="false">IF(K91="","",IF(J91&gt;K91,(J91-K91)*$C$5,0))</f>
        <v>0</v>
      </c>
      <c r="M91" s="2" t="n">
        <v>234466</v>
      </c>
      <c r="N91" s="3" t="n">
        <v>0.75</v>
      </c>
      <c r="O91" s="2" t="n">
        <v>175850</v>
      </c>
      <c r="P91" s="3" t="n">
        <f aca="false">IFERROR(IF(F91=0,"",O91/$O$81)*($O$42/SUM($O$14:$O$41)),"")</f>
        <v>1.63368376632667E-005</v>
      </c>
    </row>
    <row r="92" customFormat="false" ht="13.8" hidden="false" customHeight="false" outlineLevel="0" collapsed="false">
      <c r="B92" s="1" t="s">
        <v>119</v>
      </c>
      <c r="F92" s="2" t="n">
        <v>8000000</v>
      </c>
      <c r="G92" s="2" t="n">
        <v>4689331</v>
      </c>
      <c r="H92" s="47" t="n">
        <f aca="false">IFERROR(IF(G92="","",1-G92/F92),0)</f>
        <v>0.413833625</v>
      </c>
      <c r="I92" s="3" t="n">
        <f aca="false">IFERROR(G92/C6, "")</f>
        <v>0.000375401900419798</v>
      </c>
      <c r="J92" s="3" t="n">
        <f aca="false">IFERROR(G92/$C$5,"")</f>
        <v>0.000377555878634121</v>
      </c>
      <c r="K92" s="47" t="n">
        <v>0.01</v>
      </c>
      <c r="L92" s="4" t="n">
        <f aca="false">IF(K92="","",IF(J92&gt;K92,(J92-K92)*$C$5,0))</f>
        <v>0</v>
      </c>
      <c r="M92" s="2" t="n">
        <v>4689331</v>
      </c>
      <c r="N92" s="3" t="n">
        <v>0.75</v>
      </c>
      <c r="O92" s="2" t="n">
        <v>3516998</v>
      </c>
      <c r="P92" s="3" t="n">
        <f aca="false">IFERROR(IF(F92=0,"",O92/$O$81)*($O$42/SUM($O$14:$O$41)),"")</f>
        <v>0.000326736567461095</v>
      </c>
    </row>
    <row r="93" customFormat="false" ht="13.8" hidden="false" customHeight="false" outlineLevel="0" collapsed="false">
      <c r="B93" s="1" t="s">
        <v>120</v>
      </c>
      <c r="F93" s="2" t="n">
        <v>1000000</v>
      </c>
      <c r="G93" s="2" t="n">
        <v>586166</v>
      </c>
      <c r="H93" s="47" t="n">
        <f aca="false">IFERROR(IF(G93="","",1-G93/F93),0)</f>
        <v>0.413834</v>
      </c>
      <c r="I93" s="3" t="n">
        <f aca="false">IFERROR(G93/C6, "")</f>
        <v>4.69252075320491E-005</v>
      </c>
      <c r="J93" s="3" t="n">
        <f aca="false">IFERROR(G93/$C$5,"")</f>
        <v>4.71944546365885E-005</v>
      </c>
      <c r="K93" s="47" t="n">
        <v>0.01</v>
      </c>
      <c r="L93" s="4" t="n">
        <f aca="false">IF(K93="","",IF(J93&gt;K93,(J93-K93)*$C$5,0))</f>
        <v>0</v>
      </c>
      <c r="M93" s="2" t="n">
        <v>586166</v>
      </c>
      <c r="N93" s="3" t="n">
        <v>0.75</v>
      </c>
      <c r="O93" s="2" t="n">
        <v>439625</v>
      </c>
      <c r="P93" s="3" t="n">
        <f aca="false">IFERROR(IF(F93=0,"",O93/$O$81)*($O$42/SUM($O$14:$O$41)),"")</f>
        <v>4.08420941581666E-005</v>
      </c>
    </row>
    <row r="94" customFormat="false" ht="13.8" hidden="false" customHeight="false" outlineLevel="0" collapsed="false">
      <c r="B94" s="1" t="s">
        <v>121</v>
      </c>
      <c r="F94" s="2" t="n">
        <v>7000000</v>
      </c>
      <c r="G94" s="2" t="n">
        <v>4103163</v>
      </c>
      <c r="H94" s="47" t="n">
        <f aca="false">IFERROR(IF(G94="","",1-G94/F94),0)</f>
        <v>0.413833857142857</v>
      </c>
      <c r="I94" s="3" t="n">
        <f aca="false">IFERROR(G94/C6, "")</f>
        <v>0.000328476532778812</v>
      </c>
      <c r="J94" s="3" t="n">
        <f aca="false">IFERROR(G94/$C$5,"")</f>
        <v>0.000330361262969924</v>
      </c>
      <c r="K94" s="47" t="n">
        <v>0.01</v>
      </c>
      <c r="L94" s="4" t="n">
        <f aca="false">IF(K94="","",IF(J94&gt;K94,(J94-K94)*$C$5,0))</f>
        <v>0</v>
      </c>
      <c r="M94" s="2" t="n">
        <v>4103163</v>
      </c>
      <c r="N94" s="3" t="n">
        <v>0.75</v>
      </c>
      <c r="O94" s="2" t="n">
        <v>3077372</v>
      </c>
      <c r="P94" s="3" t="n">
        <f aca="false">IFERROR(IF(F94=0,"",O94/$O$81)*($O$42/SUM($O$14:$O$41)),"")</f>
        <v>0.000285894380400809</v>
      </c>
    </row>
    <row r="95" customFormat="false" ht="13.8" hidden="false" customHeight="false" outlineLevel="0" collapsed="false">
      <c r="B95" s="1" t="s">
        <v>122</v>
      </c>
      <c r="F95" s="2" t="n">
        <v>5000000</v>
      </c>
      <c r="G95" s="2" t="n">
        <v>2930831</v>
      </c>
      <c r="H95" s="47" t="n">
        <f aca="false">IFERROR(IF(G95="","",1-G95/F95),0)</f>
        <v>0.4138338</v>
      </c>
      <c r="I95" s="3" t="n">
        <f aca="false">IFERROR(G95/C6, "")</f>
        <v>0.000234626117714714</v>
      </c>
      <c r="J95" s="3" t="n">
        <f aca="false">IFERROR(G95/$C$5,"")</f>
        <v>0.000235972353696747</v>
      </c>
      <c r="K95" s="47" t="n">
        <v>0.01</v>
      </c>
      <c r="L95" s="4" t="n">
        <f aca="false">IF(K95="","",IF(J95&gt;K95,(J95-K95)*$C$5,0))</f>
        <v>0</v>
      </c>
      <c r="M95" s="2" t="n">
        <v>2930831</v>
      </c>
      <c r="N95" s="3" t="n">
        <v>0.75</v>
      </c>
      <c r="O95" s="2" t="n">
        <v>2198123</v>
      </c>
      <c r="P95" s="3" t="n">
        <f aca="false">IFERROR(IF(F95=0,"",O95/$O$81)*($O$42/SUM($O$14:$O$41)),"")</f>
        <v>0.000204210284986595</v>
      </c>
    </row>
    <row r="96" customFormat="false" ht="13.8" hidden="false" customHeight="false" outlineLevel="0" collapsed="false">
      <c r="B96" s="1" t="s">
        <v>123</v>
      </c>
      <c r="F96" s="2" t="n">
        <v>1250000</v>
      </c>
      <c r="G96" s="2" t="n">
        <v>732710</v>
      </c>
      <c r="H96" s="47" t="n">
        <f aca="false">IFERROR(IF(G96="","",1-G96/F96),0)</f>
        <v>0.413832</v>
      </c>
      <c r="I96" s="3" t="n">
        <f aca="false">IFERROR(G96/C6, "")</f>
        <v>5.86567095512325E-005</v>
      </c>
      <c r="J96" s="3" t="n">
        <f aca="false">IFERROR(G96/$C$5,"")</f>
        <v>5.89932695802465E-005</v>
      </c>
      <c r="K96" s="47" t="n">
        <v>0.01</v>
      </c>
      <c r="L96" s="4" t="n">
        <f aca="false">IF(K96="","",IF(J96&gt;K96,(J96-K96)*$C$5,0))</f>
        <v>0</v>
      </c>
      <c r="M96" s="2" t="n">
        <v>732710</v>
      </c>
      <c r="N96" s="3" t="n">
        <v>0.75</v>
      </c>
      <c r="O96" s="2" t="n">
        <v>549533</v>
      </c>
      <c r="P96" s="3" t="n">
        <f aca="false">IFERROR(IF(F96=0,"",O96/$O$81)*($O$42/SUM($O$14:$O$41)),"")</f>
        <v>5.10527802764169E-005</v>
      </c>
    </row>
    <row r="97" customFormat="false" ht="13.8" hidden="false" customHeight="false" outlineLevel="0" collapsed="false">
      <c r="B97" s="1" t="s">
        <v>124</v>
      </c>
      <c r="F97" s="2" t="n">
        <v>750000</v>
      </c>
      <c r="G97" s="2" t="n">
        <v>439626</v>
      </c>
      <c r="H97" s="47" t="n">
        <f aca="false">IFERROR(IF(G97="","",1-G97/F97),0)</f>
        <v>0.413832</v>
      </c>
      <c r="I97" s="3" t="n">
        <f aca="false">IFERROR(G97/C6, "")</f>
        <v>3.51940257307395E-005</v>
      </c>
      <c r="J97" s="3" t="n">
        <f aca="false">IFERROR(G97/$C$5,"")</f>
        <v>3.53959617481479E-005</v>
      </c>
      <c r="K97" s="47" t="n">
        <v>0.01</v>
      </c>
      <c r="L97" s="4" t="n">
        <f aca="false">IF(K97="","",IF(J97&gt;K97,(J97-K97)*$C$5,0))</f>
        <v>0</v>
      </c>
      <c r="M97" s="2" t="n">
        <v>439626</v>
      </c>
      <c r="N97" s="3" t="n">
        <v>0.75</v>
      </c>
      <c r="O97" s="2" t="n">
        <v>329720</v>
      </c>
      <c r="P97" s="3" t="n">
        <f aca="false">IFERROR(IF(F97=0,"",O97/$O$81)*($O$42/SUM($O$14:$O$41)),"")</f>
        <v>3.0631686746274E-005</v>
      </c>
    </row>
    <row r="98" customFormat="false" ht="13.8" hidden="false" customHeight="false" outlineLevel="0" collapsed="false">
      <c r="B98" s="1" t="s">
        <v>125</v>
      </c>
      <c r="F98" s="2" t="n">
        <v>2000000</v>
      </c>
      <c r="G98" s="2" t="n">
        <v>1172334</v>
      </c>
      <c r="H98" s="47" t="n">
        <f aca="false">IFERROR(IF(G98="","",1-G98/F98),0)</f>
        <v>0.413833</v>
      </c>
      <c r="I98" s="3" t="n">
        <f aca="false">IFERROR(G98/C6, "")</f>
        <v>9.38505751730351E-005</v>
      </c>
      <c r="J98" s="3" t="n">
        <f aca="false">IFERROR(G98/$C$5,"")</f>
        <v>9.43890703007858E-005</v>
      </c>
      <c r="K98" s="47" t="n">
        <v>0.01</v>
      </c>
      <c r="L98" s="4" t="n">
        <f aca="false">IF(K98="","",IF(J98&gt;K98,(J98-K98)*$C$5,0))</f>
        <v>0</v>
      </c>
      <c r="M98" s="2" t="n">
        <v>1172334</v>
      </c>
      <c r="N98" s="3" t="n">
        <v>0.75</v>
      </c>
      <c r="O98" s="2" t="n">
        <v>879251</v>
      </c>
      <c r="P98" s="3" t="n">
        <f aca="false">IFERROR(IF(F98=0,"",O98/$O$81)*($O$42/SUM($O$14:$O$41)),"")</f>
        <v>8.16842812184525E-005</v>
      </c>
    </row>
    <row r="99" customFormat="false" ht="13.8" hidden="false" customHeight="false" outlineLevel="0" collapsed="false">
      <c r="B99" s="1" t="s">
        <v>126</v>
      </c>
      <c r="F99" s="2" t="n">
        <v>14250000</v>
      </c>
      <c r="G99" s="2" t="n">
        <v>6543956</v>
      </c>
      <c r="H99" s="47" t="n">
        <f aca="false">IFERROR(IF(G99="","",1-G99/F99),0)</f>
        <v>0.54077501754386</v>
      </c>
      <c r="I99" s="3" t="n">
        <f aca="false">IFERROR(G99/C6, "")</f>
        <v>0.000523872918901127</v>
      </c>
      <c r="J99" s="3" t="n">
        <f aca="false">IFERROR(G99/$C$5,"")</f>
        <v>0.000526878793013978</v>
      </c>
      <c r="K99" s="47" t="n">
        <v>0.01</v>
      </c>
      <c r="L99" s="4" t="n">
        <f aca="false">IF(K99="","",IF(J99&gt;K99,(J99-K99)*$C$5,0))</f>
        <v>0</v>
      </c>
      <c r="M99" s="2" t="n">
        <v>6543956</v>
      </c>
      <c r="N99" s="3" t="n">
        <v>0.75</v>
      </c>
      <c r="O99" s="2" t="n">
        <v>4907967</v>
      </c>
      <c r="P99" s="3" t="n">
        <f aca="false">IFERROR(IF(F99=0,"",O99/$O$81)*($O$42/SUM($O$14:$O$41)),"")</f>
        <v>0.000455960535317998</v>
      </c>
    </row>
    <row r="100" customFormat="false" ht="13.8" hidden="false" customHeight="false" outlineLevel="0" collapsed="false">
      <c r="B100" s="1" t="s">
        <v>127</v>
      </c>
      <c r="F100" s="2" t="n">
        <v>18500000</v>
      </c>
      <c r="G100" s="2" t="n">
        <v>8495662</v>
      </c>
      <c r="H100" s="47" t="n">
        <f aca="false">IFERROR(IF(G100="","",1-G100/F100),0)</f>
        <v>0.540775027027027</v>
      </c>
      <c r="I100" s="3" t="n">
        <f aca="false">IFERROR(G100/C6, "")</f>
        <v>0.000680115705230504</v>
      </c>
      <c r="J100" s="3" t="n">
        <f aca="false">IFERROR(G100/$C$5,"")</f>
        <v>0.000684018068033269</v>
      </c>
      <c r="K100" s="47" t="n">
        <v>0.01</v>
      </c>
      <c r="L100" s="4" t="n">
        <f aca="false">IF(K100="","",IF(J100&gt;K100,(J100-K100)*$C$5,0))</f>
        <v>0</v>
      </c>
      <c r="M100" s="2" t="n">
        <v>8495662</v>
      </c>
      <c r="N100" s="3" t="n">
        <v>0.75</v>
      </c>
      <c r="O100" s="2" t="n">
        <v>6371746</v>
      </c>
      <c r="P100" s="3" t="n">
        <f aca="false">IFERROR(IF(F100=0,"",O100/$O$81)*($O$42/SUM($O$14:$O$41)),"")</f>
        <v>0.000591948706474658</v>
      </c>
    </row>
    <row r="101" customFormat="false" ht="13.8" hidden="false" customHeight="false" outlineLevel="0" collapsed="false">
      <c r="B101" s="1" t="s">
        <v>128</v>
      </c>
      <c r="F101" s="2" t="n">
        <v>6000000</v>
      </c>
      <c r="G101" s="2" t="n">
        <v>3516996</v>
      </c>
      <c r="H101" s="47" t="n">
        <f aca="false">IFERROR(IF(G101="","",1-G101/F101),0)</f>
        <v>0.413834</v>
      </c>
      <c r="I101" s="3" t="n">
        <f aca="false">IFERROR(G101/C6, "")</f>
        <v>0.000281551245192295</v>
      </c>
      <c r="J101" s="3" t="n">
        <f aca="false">IFERROR(G101/$C$5,"")</f>
        <v>0.000283166727819531</v>
      </c>
      <c r="K101" s="47" t="n">
        <v>0.01</v>
      </c>
      <c r="L101" s="4" t="n">
        <f aca="false">IF(K101="","",IF(J101&gt;K101,(J101-K101)*$C$5,0))</f>
        <v>0</v>
      </c>
      <c r="M101" s="2" t="n">
        <v>3516996</v>
      </c>
      <c r="N101" s="3" t="n">
        <v>0.75</v>
      </c>
      <c r="O101" s="2" t="n">
        <v>2637747</v>
      </c>
      <c r="P101" s="3" t="n">
        <f aca="false">IFERROR(IF(F101=0,"",O101/$O$81)*($O$42/SUM($O$14:$O$41)),"")</f>
        <v>0.000245052286242642</v>
      </c>
    </row>
    <row r="102" customFormat="false" ht="13.8" hidden="false" customHeight="false" outlineLevel="0" collapsed="false">
      <c r="B102" s="1" t="s">
        <v>129</v>
      </c>
      <c r="F102" s="2" t="n">
        <v>9750000</v>
      </c>
      <c r="G102" s="2" t="n">
        <v>5715118</v>
      </c>
      <c r="H102" s="47" t="n">
        <f aca="false">IFERROR(IF(G102="","",1-G102/F102),0)</f>
        <v>0.413834051282051</v>
      </c>
      <c r="I102" s="3" t="n">
        <f aca="false">IFERROR(G102/C6, "")</f>
        <v>0.000457520733410245</v>
      </c>
      <c r="J102" s="3" t="n">
        <f aca="false">IFERROR(G102/$C$5,"")</f>
        <v>0.000460145892449836</v>
      </c>
      <c r="K102" s="47" t="n">
        <v>0.01</v>
      </c>
      <c r="L102" s="4" t="n">
        <f aca="false">IF(K102="","",IF(J102&gt;K102,(J102-K102)*$C$5,0))</f>
        <v>0</v>
      </c>
      <c r="M102" s="2" t="n">
        <v>5715118</v>
      </c>
      <c r="N102" s="3" t="n">
        <v>0.75</v>
      </c>
      <c r="O102" s="2" t="n">
        <v>4286338</v>
      </c>
      <c r="P102" s="3" t="n">
        <f aca="false">IFERROR(IF(F102=0,"",O102/$O$81)*($O$42/SUM($O$14:$O$41)),"")</f>
        <v>0.000398209883854939</v>
      </c>
    </row>
    <row r="103" customFormat="false" ht="13.8" hidden="false" customHeight="false" outlineLevel="0" collapsed="false">
      <c r="B103" s="1" t="s">
        <v>130</v>
      </c>
      <c r="F103" s="2" t="n">
        <v>32000000</v>
      </c>
      <c r="G103" s="2" t="n">
        <v>14695200</v>
      </c>
      <c r="H103" s="47" t="n">
        <f aca="false">IFERROR(IF(G103="","",1-G103/F103),0)</f>
        <v>0.540775</v>
      </c>
      <c r="I103" s="3" t="n">
        <f aca="false">IFERROR(G103/C6, "")</f>
        <v>0.0011764164242296</v>
      </c>
      <c r="J103" s="3" t="n">
        <f aca="false">IFERROR(G103/$C$5,"")</f>
        <v>0.001183166457583</v>
      </c>
      <c r="K103" s="47" t="n">
        <v>0.01</v>
      </c>
      <c r="L103" s="4" t="n">
        <f aca="false">IF(K103="","",IF(J103&gt;K103,(J103-K103)*$C$5,0))</f>
        <v>0</v>
      </c>
      <c r="M103" s="2" t="n">
        <v>14695200</v>
      </c>
      <c r="N103" s="3" t="n">
        <v>0.75</v>
      </c>
      <c r="O103" s="2" t="n">
        <v>11021400</v>
      </c>
      <c r="P103" s="3" t="n">
        <f aca="false">IFERROR(IF(F103=0,"",O103/$O$81)*($O$42/SUM($O$14:$O$41)),"")</f>
        <v>0.00102391141667289</v>
      </c>
    </row>
    <row r="104" s="48" customFormat="true" ht="13.8" hidden="false" customHeight="false" outlineLevel="0" collapsed="false">
      <c r="B104" s="49" t="s">
        <v>131</v>
      </c>
      <c r="C104" s="49"/>
      <c r="D104" s="49"/>
      <c r="E104" s="49"/>
      <c r="F104" s="50" t="n">
        <f aca="false">SUM(F84:F103)</f>
        <v>135600000</v>
      </c>
      <c r="G104" s="50" t="n">
        <f aca="false">SUM(G84:G103)</f>
        <v>71264705</v>
      </c>
      <c r="H104" s="50"/>
      <c r="I104" s="51" t="n">
        <f aca="false">SUM(I84:I103)</f>
        <v>0.00570505807541765</v>
      </c>
      <c r="J104" s="51" t="n">
        <f aca="false">SUM(J84:J103)</f>
        <v>0.00573779251494007</v>
      </c>
      <c r="K104" s="52" t="n">
        <v>1</v>
      </c>
      <c r="L104" s="50" t="n">
        <f aca="false">SUM(L84:L103)</f>
        <v>0</v>
      </c>
      <c r="M104" s="50" t="n">
        <f aca="false">SUM(M84:M103)</f>
        <v>71264705</v>
      </c>
      <c r="N104" s="52" t="n">
        <v>0.75</v>
      </c>
      <c r="O104" s="50" t="n">
        <f aca="false">SUM(O84:O103)</f>
        <v>53448533</v>
      </c>
      <c r="P104" s="51" t="n">
        <f aca="false">SUM(P84:P103)</f>
        <v>0.00496548198442281</v>
      </c>
      <c r="XFC104" s="1"/>
      <c r="XFD104" s="1"/>
    </row>
    <row r="106" s="84" customFormat="true" ht="20.85" hidden="false" customHeight="true" outlineLevel="0" collapsed="false">
      <c r="B106" s="85" t="s">
        <v>132</v>
      </c>
      <c r="C106" s="85"/>
      <c r="D106" s="85"/>
      <c r="E106" s="85"/>
      <c r="F106" s="86" t="n">
        <f aca="false">SUM(F104,F81)</f>
        <v>22919734325</v>
      </c>
      <c r="G106" s="86" t="n">
        <f aca="false">SUM(G104,G81)</f>
        <v>12491495101</v>
      </c>
      <c r="H106" s="86"/>
      <c r="I106" s="87" t="n">
        <f aca="false">SUM(I104,I81)</f>
        <v>0.999107008175578</v>
      </c>
      <c r="J106" s="87" t="n">
        <f aca="false">SUM(J104,J81)</f>
        <v>1.00573779251494</v>
      </c>
      <c r="K106" s="86"/>
      <c r="L106" s="88"/>
      <c r="M106" s="86" t="n">
        <f aca="false">SUM(M104,M81)</f>
        <v>12491495101</v>
      </c>
      <c r="N106" s="89" t="n">
        <v>0.75</v>
      </c>
      <c r="O106" s="86" t="n">
        <f aca="false">SUM(O104,O81)</f>
        <v>10817465635</v>
      </c>
      <c r="P106" s="90"/>
    </row>
  </sheetData>
  <autoFilter ref="B11:P4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2026-06-17T03:32:36Z</dcterms:created>
  <dc:creator>Alexander Len</dc:creator>
  <dc:description/>
  <dc:language>en-US</dc:language>
  <cp:lastModifiedBy/>
  <dcterms:modified xsi:type="dcterms:W3CDTF">2026-06-26T08:56:34Z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